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xr:revisionPtr revIDLastSave="0" documentId="8_{79399DE1-5A37-45C5-9BAD-76D34095ABB1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T-1" sheetId="4" r:id="rId1"/>
    <sheet name="PT-2" sheetId="5" r:id="rId2"/>
    <sheet name="PT-3" sheetId="6" r:id="rId3"/>
    <sheet name="PT-4" sheetId="7" r:id="rId4"/>
    <sheet name="Election_data" sheetId="3" r:id="rId5"/>
    <sheet name="region" sheetId="2" r:id="rId6"/>
  </sheets>
  <definedNames>
    <definedName name="Slicer_Candidate">#N/A</definedName>
    <definedName name="Slicer_Constituency">#N/A</definedName>
    <definedName name="Slicer_Party">#N/A</definedName>
    <definedName name="Slicer_Party1">#N/A</definedName>
    <definedName name="Slicer_Region">#N/A</definedName>
    <definedName name="Slicer_Region1">#N/A</definedName>
    <definedName name="Slicer_Votes">#N/A</definedName>
  </definedNames>
  <calcPr calcId="191028"/>
  <pivotCaches>
    <pivotCache cacheId="18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2" i="3"/>
</calcChain>
</file>

<file path=xl/sharedStrings.xml><?xml version="1.0" encoding="utf-8"?>
<sst xmlns="http://schemas.openxmlformats.org/spreadsheetml/2006/main" count="445" uniqueCount="174">
  <si>
    <t>Party</t>
  </si>
  <si>
    <t>Count of Party</t>
  </si>
  <si>
    <t>BJP</t>
  </si>
  <si>
    <t>INC</t>
  </si>
  <si>
    <t>NCP(SP)</t>
  </si>
  <si>
    <t>SHS(UBT)</t>
  </si>
  <si>
    <t>Grand Total</t>
  </si>
  <si>
    <t>Region</t>
  </si>
  <si>
    <t>NCP</t>
  </si>
  <si>
    <t>SHS</t>
  </si>
  <si>
    <t>Konkan</t>
  </si>
  <si>
    <t>Marathwada</t>
  </si>
  <si>
    <t>Mumbai</t>
  </si>
  <si>
    <t>North Maharashtra</t>
  </si>
  <si>
    <t>Vidarbha</t>
  </si>
  <si>
    <t>Western Maharashtra</t>
  </si>
  <si>
    <t>Count of Constituency</t>
  </si>
  <si>
    <t>Win_Type</t>
  </si>
  <si>
    <t>Comfortable</t>
  </si>
  <si>
    <t>Landslide</t>
  </si>
  <si>
    <t>Nail-Biter</t>
  </si>
  <si>
    <t>Count of Win_Type</t>
  </si>
  <si>
    <t>Constituency</t>
  </si>
  <si>
    <t>Candidate</t>
  </si>
  <si>
    <t>Votes</t>
  </si>
  <si>
    <t>Runner_Up</t>
  </si>
  <si>
    <t>Runner_Party</t>
  </si>
  <si>
    <t>Runner_Votes</t>
  </si>
  <si>
    <t>Age</t>
  </si>
  <si>
    <t>Education</t>
  </si>
  <si>
    <t>Assets_Cr</t>
  </si>
  <si>
    <t>Margin</t>
  </si>
  <si>
    <t>Margin%</t>
  </si>
  <si>
    <t>Asset_Category</t>
  </si>
  <si>
    <t>Nandurbar</t>
  </si>
  <si>
    <t>Sanjay More</t>
  </si>
  <si>
    <t>Ravi Gadre</t>
  </si>
  <si>
    <t>IND</t>
  </si>
  <si>
    <t>Doctorate</t>
  </si>
  <si>
    <t>Dhule</t>
  </si>
  <si>
    <t>Rajesh Gadre</t>
  </si>
  <si>
    <t>Radhakrishna Bapat</t>
  </si>
  <si>
    <t>Post Graduate</t>
  </si>
  <si>
    <t>Jalgaon</t>
  </si>
  <si>
    <t>Dhananjay Gholap</t>
  </si>
  <si>
    <t>Prakash Gholap</t>
  </si>
  <si>
    <t>Raver</t>
  </si>
  <si>
    <t>Ashok Pawar</t>
  </si>
  <si>
    <t>Devendra Gholap</t>
  </si>
  <si>
    <t>12th Pass</t>
  </si>
  <si>
    <t>Buldhana</t>
  </si>
  <si>
    <t>Anil Danve</t>
  </si>
  <si>
    <t>Prakash Danve</t>
  </si>
  <si>
    <t>Akola</t>
  </si>
  <si>
    <t>Prakash Pawar</t>
  </si>
  <si>
    <t>Radhakrishna Rane</t>
  </si>
  <si>
    <t>Amravati</t>
  </si>
  <si>
    <t>Sudhir Patil</t>
  </si>
  <si>
    <t>Udayanraje Gaikwad</t>
  </si>
  <si>
    <t>Wardha</t>
  </si>
  <si>
    <t>Prakash Shelke</t>
  </si>
  <si>
    <t>Rajesh Danve</t>
  </si>
  <si>
    <t>10th Pass</t>
  </si>
  <si>
    <t>Ramtek</t>
  </si>
  <si>
    <t>Devendra Deshmukh</t>
  </si>
  <si>
    <t>Radhakrishna Bhosale</t>
  </si>
  <si>
    <t>Nagpur</t>
  </si>
  <si>
    <t>Sanjay Patil</t>
  </si>
  <si>
    <t>Graduate</t>
  </si>
  <si>
    <t>Bhandara-Gondiya</t>
  </si>
  <si>
    <t>Dhananjay Bhosale</t>
  </si>
  <si>
    <t>Ravi Patil</t>
  </si>
  <si>
    <t>Gadchiroli-Chimur</t>
  </si>
  <si>
    <t>Radhakrishna Bhagwat</t>
  </si>
  <si>
    <t>Sanjay Danve</t>
  </si>
  <si>
    <t>Chandrapur</t>
  </si>
  <si>
    <t>Radhakrishna Kharse</t>
  </si>
  <si>
    <t>Sharad Chavan</t>
  </si>
  <si>
    <t>Yavatmal-Washim</t>
  </si>
  <si>
    <t>Vijay Tatkare</t>
  </si>
  <si>
    <t>Sudhir Munde</t>
  </si>
  <si>
    <t>Hingoli</t>
  </si>
  <si>
    <t>Milind Shinde</t>
  </si>
  <si>
    <t>Sharad Danve</t>
  </si>
  <si>
    <t>Nanded</t>
  </si>
  <si>
    <t>Sanjay Deshmukh</t>
  </si>
  <si>
    <t>Uddhav Patil</t>
  </si>
  <si>
    <t>Parbhani</t>
  </si>
  <si>
    <t>Sambhaji Shelke</t>
  </si>
  <si>
    <t>Ajit Deshmukh</t>
  </si>
  <si>
    <t>Jalna</t>
  </si>
  <si>
    <t>Piyush Bapat</t>
  </si>
  <si>
    <t>Sanjay Gholap</t>
  </si>
  <si>
    <t>Aurangabad</t>
  </si>
  <si>
    <t>Ashok Bhagwat</t>
  </si>
  <si>
    <t>Udayanraje More</t>
  </si>
  <si>
    <t>Dindori</t>
  </si>
  <si>
    <t>Chhagan Gaikwad</t>
  </si>
  <si>
    <t>Ashok More</t>
  </si>
  <si>
    <t>Nashik</t>
  </si>
  <si>
    <t>Chhagan Deshmukh</t>
  </si>
  <si>
    <t>Milind Munde</t>
  </si>
  <si>
    <t>Palghar</t>
  </si>
  <si>
    <t>Devendra Shinde</t>
  </si>
  <si>
    <t>Uddhav Danve</t>
  </si>
  <si>
    <t>Bhiwandi</t>
  </si>
  <si>
    <t>Supriya Danve</t>
  </si>
  <si>
    <t>Fadnavis Shelke</t>
  </si>
  <si>
    <t>Professional</t>
  </si>
  <si>
    <t>Kalyan</t>
  </si>
  <si>
    <t>Chhagan Pawar</t>
  </si>
  <si>
    <t>Rajesh Tatkare</t>
  </si>
  <si>
    <t>Thane</t>
  </si>
  <si>
    <t>Ashok Patil</t>
  </si>
  <si>
    <t>Devendra Jadhav</t>
  </si>
  <si>
    <t>Mumbai North</t>
  </si>
  <si>
    <t>Uddhav Kharse</t>
  </si>
  <si>
    <t>Mumbai North West</t>
  </si>
  <si>
    <t>Supriya More</t>
  </si>
  <si>
    <t>Ashok Gadre</t>
  </si>
  <si>
    <t>Mumbai North East</t>
  </si>
  <si>
    <t>Udayanraje Deshmukh</t>
  </si>
  <si>
    <t>Mumbai North Central</t>
  </si>
  <si>
    <t>Udayanraje Kadam</t>
  </si>
  <si>
    <t>Udayanraje Munde</t>
  </si>
  <si>
    <t>Mumbai South Central</t>
  </si>
  <si>
    <t>Anil Shinde</t>
  </si>
  <si>
    <t>Sambhaji Gaikwad</t>
  </si>
  <si>
    <t>Mumbai South</t>
  </si>
  <si>
    <t>Sanjay Munde</t>
  </si>
  <si>
    <t>Chhagan Jadhav</t>
  </si>
  <si>
    <t>Raigad</t>
  </si>
  <si>
    <t>Sanjay Gadre</t>
  </si>
  <si>
    <t>Maval</t>
  </si>
  <si>
    <t>Ajit Chavan</t>
  </si>
  <si>
    <t>Sharad Patil</t>
  </si>
  <si>
    <t>Pune</t>
  </si>
  <si>
    <t>Pankaja Pawar</t>
  </si>
  <si>
    <t>Baramati</t>
  </si>
  <si>
    <t>Ravi Rane</t>
  </si>
  <si>
    <t>Sudhir Jadhav</t>
  </si>
  <si>
    <t>Shirur</t>
  </si>
  <si>
    <t>Piyush Danve</t>
  </si>
  <si>
    <t>Ahmednagar</t>
  </si>
  <si>
    <t>Sunil Kadam</t>
  </si>
  <si>
    <t>Shirdi</t>
  </si>
  <si>
    <t>Pankaja Bhosale</t>
  </si>
  <si>
    <t>Ashok Danve</t>
  </si>
  <si>
    <t>Beed</t>
  </si>
  <si>
    <t>Ajit Pawar</t>
  </si>
  <si>
    <t>Osmanabad</t>
  </si>
  <si>
    <t>Devendra Kharse</t>
  </si>
  <si>
    <t>Latur</t>
  </si>
  <si>
    <t>Radhakrishna Kadam</t>
  </si>
  <si>
    <t>Solapur</t>
  </si>
  <si>
    <t>Fadnavis Gadre</t>
  </si>
  <si>
    <t>Uddhav Bapat</t>
  </si>
  <si>
    <t>Madha</t>
  </si>
  <si>
    <t>Nitin Bhosale</t>
  </si>
  <si>
    <t>Sanjay Gaikwad</t>
  </si>
  <si>
    <t>Sangli</t>
  </si>
  <si>
    <t>Ravi Danve</t>
  </si>
  <si>
    <t>Satara</t>
  </si>
  <si>
    <t>Sharad Gaikwad</t>
  </si>
  <si>
    <t>Sharad Rane</t>
  </si>
  <si>
    <t>Ratnagiri-Sindhudurg</t>
  </si>
  <si>
    <t>Ajit Gaikwad</t>
  </si>
  <si>
    <t>Devendra Tatkare</t>
  </si>
  <si>
    <t>Kolhapur</t>
  </si>
  <si>
    <t>Dhananjay Bapat</t>
  </si>
  <si>
    <t>Prakash Patil</t>
  </si>
  <si>
    <t>Hatkanangle</t>
  </si>
  <si>
    <t>Ashok Chavan</t>
  </si>
  <si>
    <t>Udayanraje Tatkare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</si>
</sst>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.00_ ;_ [$₹-4009]\ * \-#,##0.00_ ;_ [$₹-4009]\ * &quot;-&quot;??_ ;_ @_ "/>
    <numFmt numFmtId="165" formatCode="&quot;$&quot;#,##0.00"/>
    <numFmt numFmtId="166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0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165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4" formatCode="0.00%"/>
    </dxf>
    <dxf>
      <numFmt numFmtId="164" formatCode="_ [$₹-4009]\ * #,##0.00_ ;_ [$₹-4009]\ * \-#,##0.00_ ;_ [$₹-4009]\ * &quot;-&quot;??_ ;_ @_ "/>
    </dxf>
    <dxf>
      <numFmt numFmtId="166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13.xlsx]PT-1!PivotTable1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gal"/>
                <a:ea typeface="Mangal"/>
                <a:cs typeface="Mangal"/>
              </a:defRPr>
            </a:pPr>
            <a:r>
              <a:rPr lang="en-US"/>
              <a:t>Party Wins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gal"/>
              <a:ea typeface="Mangal"/>
              <a:cs typeface="Mang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9BD5"/>
          </a:solidFill>
          <a:ln>
            <a:solidFill>
              <a:srgbClr val="000000"/>
            </a:solidFill>
            <a:prstDash val="solid"/>
          </a:ln>
          <a:effectLst/>
        </c:spPr>
      </c:pivotFmt>
      <c:pivotFmt>
        <c:idx val="2"/>
        <c:spPr>
          <a:solidFill>
            <a:srgbClr val="A9D08E"/>
          </a:solidFill>
          <a:ln>
            <a:solidFill>
              <a:srgbClr val="000000"/>
            </a:solidFill>
            <a:prstDash val="solid"/>
          </a:ln>
          <a:effectLst/>
        </c:spPr>
      </c:pivotFmt>
      <c:pivotFmt>
        <c:idx val="3"/>
        <c:spPr>
          <a:solidFill>
            <a:srgbClr val="9BC2E6"/>
          </a:solidFill>
          <a:ln>
            <a:solidFill>
              <a:srgbClr val="000000"/>
            </a:solidFill>
            <a:prstDash val="solid"/>
          </a:ln>
          <a:effectLst/>
        </c:spPr>
      </c:pivotFmt>
      <c:pivotFmt>
        <c:idx val="4"/>
      </c:pivotFmt>
      <c:pivotFmt>
        <c:idx val="5"/>
        <c:spPr>
          <a:solidFill>
            <a:srgbClr val="ED7D31"/>
          </a:solidFill>
          <a:ln>
            <a:solidFill>
              <a:srgbClr val="000000"/>
            </a:solidFill>
            <a:prstDash val="solid"/>
          </a:ln>
          <a:effectLst/>
        </c:spPr>
      </c:pivotFmt>
      <c:pivotFmt>
        <c:idx val="6"/>
        <c:spPr>
          <a:solidFill>
            <a:srgbClr val="C65911"/>
          </a:solidFill>
          <a:ln>
            <a:solidFill>
              <a:srgbClr val="000000"/>
            </a:solidFill>
            <a:prstDash val="solid"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'PT-1'!$B$3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5B9BD5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70-42E7-9F63-AEDD586810F7}"/>
              </c:ext>
            </c:extLst>
          </c:dPt>
          <c:dPt>
            <c:idx val="2"/>
            <c:invertIfNegative val="0"/>
            <c:bubble3D val="0"/>
            <c:spPr>
              <a:solidFill>
                <a:srgbClr val="9BC2E6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7E70-42E7-9F63-AEDD586810F7}"/>
              </c:ext>
            </c:extLst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70-42E7-9F63-AEDD586810F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7E70-42E7-9F63-AEDD586810F7}"/>
              </c:ext>
            </c:extLst>
          </c:dPt>
          <c:cat>
            <c:strRef>
              <c:f>'PT-1'!$A$4:$A$8</c:f>
              <c:strCache>
                <c:ptCount val="4"/>
                <c:pt idx="0">
                  <c:v>BJP</c:v>
                </c:pt>
                <c:pt idx="1">
                  <c:v>INC</c:v>
                </c:pt>
                <c:pt idx="2">
                  <c:v>NCP(SP)</c:v>
                </c:pt>
                <c:pt idx="3">
                  <c:v>SHS(UBT)</c:v>
                </c:pt>
              </c:strCache>
            </c:strRef>
          </c:cat>
          <c:val>
            <c:numRef>
              <c:f>'PT-1'!$B$4:$B$8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0-42E7-9F63-AEDD58681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475143"/>
        <c:axId val="904523271"/>
      </c:barChart>
      <c:catAx>
        <c:axId val="904475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23271"/>
        <c:crosses val="autoZero"/>
        <c:auto val="1"/>
        <c:lblAlgn val="ctr"/>
        <c:lblOffset val="100"/>
        <c:noMultiLvlLbl val="0"/>
      </c:catAx>
      <c:valAx>
        <c:axId val="904523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75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13.xlsx]PT-2!PivotTable2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Regional Party Strength</a:t>
            </a:r>
          </a:p>
        </c:rich>
      </c:tx>
      <c:layout>
        <c:manualLayout>
          <c:xMode val="edge"/>
          <c:yMode val="edge"/>
          <c:x val="0.3024722222222222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'PT-2'!$B$3:$B$4</c:f>
              <c:strCache>
                <c:ptCount val="1"/>
                <c:pt idx="0">
                  <c:v>BJP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'PT-2'!$A$5:$A$11</c:f>
              <c:strCache>
                <c:ptCount val="6"/>
                <c:pt idx="0">
                  <c:v>Konkan</c:v>
                </c:pt>
                <c:pt idx="1">
                  <c:v>Marathwada</c:v>
                </c:pt>
                <c:pt idx="2">
                  <c:v>Mumbai</c:v>
                </c:pt>
                <c:pt idx="3">
                  <c:v>North Maharashtra</c:v>
                </c:pt>
                <c:pt idx="4">
                  <c:v>Vidarbha</c:v>
                </c:pt>
                <c:pt idx="5">
                  <c:v>Western Maharashtra</c:v>
                </c:pt>
              </c:strCache>
            </c:strRef>
          </c:cat>
          <c:val>
            <c:numRef>
              <c:f>'PT-2'!$B$5:$B$11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B-4E71-A354-CE40B4BDAC39}"/>
            </c:ext>
          </c:extLst>
        </c:ser>
        <c:ser>
          <c:idx val="1"/>
          <c:order val="1"/>
          <c:tx>
            <c:strRef>
              <c:f>'PT-2'!$C$3:$C$4</c:f>
              <c:strCache>
                <c:ptCount val="1"/>
                <c:pt idx="0">
                  <c:v>INC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'PT-2'!$A$5:$A$11</c:f>
              <c:strCache>
                <c:ptCount val="6"/>
                <c:pt idx="0">
                  <c:v>Konkan</c:v>
                </c:pt>
                <c:pt idx="1">
                  <c:v>Marathwada</c:v>
                </c:pt>
                <c:pt idx="2">
                  <c:v>Mumbai</c:v>
                </c:pt>
                <c:pt idx="3">
                  <c:v>North Maharashtra</c:v>
                </c:pt>
                <c:pt idx="4">
                  <c:v>Vidarbha</c:v>
                </c:pt>
                <c:pt idx="5">
                  <c:v>Western Maharashtra</c:v>
                </c:pt>
              </c:strCache>
            </c:strRef>
          </c:cat>
          <c:val>
            <c:numRef>
              <c:f>'PT-2'!$C$5:$C$11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47B-4E71-A354-CE40B4BDAC39}"/>
            </c:ext>
          </c:extLst>
        </c:ser>
        <c:ser>
          <c:idx val="2"/>
          <c:order val="2"/>
          <c:tx>
            <c:strRef>
              <c:f>'PT-2'!$D$3:$D$4</c:f>
              <c:strCache>
                <c:ptCount val="1"/>
                <c:pt idx="0">
                  <c:v>NCP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'PT-2'!$A$5:$A$11</c:f>
              <c:strCache>
                <c:ptCount val="6"/>
                <c:pt idx="0">
                  <c:v>Konkan</c:v>
                </c:pt>
                <c:pt idx="1">
                  <c:v>Marathwada</c:v>
                </c:pt>
                <c:pt idx="2">
                  <c:v>Mumbai</c:v>
                </c:pt>
                <c:pt idx="3">
                  <c:v>North Maharashtra</c:v>
                </c:pt>
                <c:pt idx="4">
                  <c:v>Vidarbha</c:v>
                </c:pt>
                <c:pt idx="5">
                  <c:v>Western Maharashtra</c:v>
                </c:pt>
              </c:strCache>
            </c:strRef>
          </c:cat>
          <c:val>
            <c:numRef>
              <c:f>'PT-2'!$D$5:$D$11</c:f>
              <c:numCache>
                <c:formatCode>General</c:formatCode>
                <c:ptCount val="6"/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47B-4E71-A354-CE40B4BDAC39}"/>
            </c:ext>
          </c:extLst>
        </c:ser>
        <c:ser>
          <c:idx val="3"/>
          <c:order val="3"/>
          <c:tx>
            <c:strRef>
              <c:f>'PT-2'!$E$3:$E$4</c:f>
              <c:strCache>
                <c:ptCount val="1"/>
                <c:pt idx="0">
                  <c:v>NCP(SP)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'PT-2'!$A$5:$A$11</c:f>
              <c:strCache>
                <c:ptCount val="6"/>
                <c:pt idx="0">
                  <c:v>Konkan</c:v>
                </c:pt>
                <c:pt idx="1">
                  <c:v>Marathwada</c:v>
                </c:pt>
                <c:pt idx="2">
                  <c:v>Mumbai</c:v>
                </c:pt>
                <c:pt idx="3">
                  <c:v>North Maharashtra</c:v>
                </c:pt>
                <c:pt idx="4">
                  <c:v>Vidarbha</c:v>
                </c:pt>
                <c:pt idx="5">
                  <c:v>Western Maharashtra</c:v>
                </c:pt>
              </c:strCache>
            </c:strRef>
          </c:cat>
          <c:val>
            <c:numRef>
              <c:f>'PT-2'!$E$5:$E$11</c:f>
              <c:numCache>
                <c:formatCode>General</c:formatCode>
                <c:ptCount val="6"/>
                <c:pt idx="1">
                  <c:v>1</c:v>
                </c:pt>
                <c:pt idx="2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47B-4E71-A354-CE40B4BDAC39}"/>
            </c:ext>
          </c:extLst>
        </c:ser>
        <c:ser>
          <c:idx val="4"/>
          <c:order val="4"/>
          <c:tx>
            <c:strRef>
              <c:f>'PT-2'!$F$3:$F$4</c:f>
              <c:strCache>
                <c:ptCount val="1"/>
                <c:pt idx="0">
                  <c:v>SHS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'PT-2'!$A$5:$A$11</c:f>
              <c:strCache>
                <c:ptCount val="6"/>
                <c:pt idx="0">
                  <c:v>Konkan</c:v>
                </c:pt>
                <c:pt idx="1">
                  <c:v>Marathwada</c:v>
                </c:pt>
                <c:pt idx="2">
                  <c:v>Mumbai</c:v>
                </c:pt>
                <c:pt idx="3">
                  <c:v>North Maharashtra</c:v>
                </c:pt>
                <c:pt idx="4">
                  <c:v>Vidarbha</c:v>
                </c:pt>
                <c:pt idx="5">
                  <c:v>Western Maharashtra</c:v>
                </c:pt>
              </c:strCache>
            </c:strRef>
          </c:cat>
          <c:val>
            <c:numRef>
              <c:f>'PT-2'!$F$5:$F$11</c:f>
              <c:numCache>
                <c:formatCode>General</c:formatCode>
                <c:ptCount val="6"/>
                <c:pt idx="0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47B-4E71-A354-CE40B4BDAC39}"/>
            </c:ext>
          </c:extLst>
        </c:ser>
        <c:ser>
          <c:idx val="5"/>
          <c:order val="5"/>
          <c:tx>
            <c:strRef>
              <c:f>'PT-2'!$G$3:$G$4</c:f>
              <c:strCache>
                <c:ptCount val="1"/>
                <c:pt idx="0">
                  <c:v>SHS(UBT)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'PT-2'!$A$5:$A$11</c:f>
              <c:strCache>
                <c:ptCount val="6"/>
                <c:pt idx="0">
                  <c:v>Konkan</c:v>
                </c:pt>
                <c:pt idx="1">
                  <c:v>Marathwada</c:v>
                </c:pt>
                <c:pt idx="2">
                  <c:v>Mumbai</c:v>
                </c:pt>
                <c:pt idx="3">
                  <c:v>North Maharashtra</c:v>
                </c:pt>
                <c:pt idx="4">
                  <c:v>Vidarbha</c:v>
                </c:pt>
                <c:pt idx="5">
                  <c:v>Western Maharashtra</c:v>
                </c:pt>
              </c:strCache>
            </c:strRef>
          </c:cat>
          <c:val>
            <c:numRef>
              <c:f>'PT-2'!$G$5:$G$11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47B-4E71-A354-CE40B4BDA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4908168"/>
        <c:axId val="824501768"/>
      </c:barChart>
      <c:catAx>
        <c:axId val="63490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501768"/>
        <c:crosses val="autoZero"/>
        <c:auto val="1"/>
        <c:lblAlgn val="ctr"/>
        <c:lblOffset val="100"/>
        <c:noMultiLvlLbl val="0"/>
      </c:catAx>
      <c:valAx>
        <c:axId val="82450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08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13.xlsx]PT-3!PivotTable3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'PT-3'!$B$3:$B$4</c:f>
              <c:strCache>
                <c:ptCount val="1"/>
                <c:pt idx="0">
                  <c:v>Comfortable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'PT-3'!$A$5:$A$11</c:f>
              <c:strCache>
                <c:ptCount val="6"/>
                <c:pt idx="0">
                  <c:v>Konkan</c:v>
                </c:pt>
                <c:pt idx="1">
                  <c:v>Marathwada</c:v>
                </c:pt>
                <c:pt idx="2">
                  <c:v>Mumbai</c:v>
                </c:pt>
                <c:pt idx="3">
                  <c:v>North Maharashtra</c:v>
                </c:pt>
                <c:pt idx="4">
                  <c:v>Vidarbha</c:v>
                </c:pt>
                <c:pt idx="5">
                  <c:v>Western Maharashtra</c:v>
                </c:pt>
              </c:strCache>
            </c:strRef>
          </c:cat>
          <c:val>
            <c:numRef>
              <c:f>'PT-3'!$B$5:$B$11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7-4E8E-88FD-017936AAA426}"/>
            </c:ext>
          </c:extLst>
        </c:ser>
        <c:ser>
          <c:idx val="1"/>
          <c:order val="1"/>
          <c:tx>
            <c:strRef>
              <c:f>'PT-3'!$C$3:$C$4</c:f>
              <c:strCache>
                <c:ptCount val="1"/>
                <c:pt idx="0">
                  <c:v>Landslide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'PT-3'!$A$5:$A$11</c:f>
              <c:strCache>
                <c:ptCount val="6"/>
                <c:pt idx="0">
                  <c:v>Konkan</c:v>
                </c:pt>
                <c:pt idx="1">
                  <c:v>Marathwada</c:v>
                </c:pt>
                <c:pt idx="2">
                  <c:v>Mumbai</c:v>
                </c:pt>
                <c:pt idx="3">
                  <c:v>North Maharashtra</c:v>
                </c:pt>
                <c:pt idx="4">
                  <c:v>Vidarbha</c:v>
                </c:pt>
                <c:pt idx="5">
                  <c:v>Western Maharashtra</c:v>
                </c:pt>
              </c:strCache>
            </c:strRef>
          </c:cat>
          <c:val>
            <c:numRef>
              <c:f>'PT-3'!$C$5:$C$11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27-4E8E-88FD-017936AAA426}"/>
            </c:ext>
          </c:extLst>
        </c:ser>
        <c:ser>
          <c:idx val="2"/>
          <c:order val="2"/>
          <c:tx>
            <c:strRef>
              <c:f>'PT-3'!$D$3:$D$4</c:f>
              <c:strCache>
                <c:ptCount val="1"/>
                <c:pt idx="0">
                  <c:v>Nail-Biter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'PT-3'!$A$5:$A$11</c:f>
              <c:strCache>
                <c:ptCount val="6"/>
                <c:pt idx="0">
                  <c:v>Konkan</c:v>
                </c:pt>
                <c:pt idx="1">
                  <c:v>Marathwada</c:v>
                </c:pt>
                <c:pt idx="2">
                  <c:v>Mumbai</c:v>
                </c:pt>
                <c:pt idx="3">
                  <c:v>North Maharashtra</c:v>
                </c:pt>
                <c:pt idx="4">
                  <c:v>Vidarbha</c:v>
                </c:pt>
                <c:pt idx="5">
                  <c:v>Western Maharashtra</c:v>
                </c:pt>
              </c:strCache>
            </c:strRef>
          </c:cat>
          <c:val>
            <c:numRef>
              <c:f>'PT-3'!$D$5:$D$11</c:f>
              <c:numCache>
                <c:formatCode>General</c:formatCode>
                <c:ptCount val="6"/>
                <c:pt idx="1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27-4E8E-88FD-017936AAA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13.xlsx]PT-4!PivotTable1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 Type Pie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'PT-4'!$B$3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'PT-4'!$A$4:$A$7</c:f>
              <c:strCache>
                <c:ptCount val="3"/>
                <c:pt idx="0">
                  <c:v>Comfortable</c:v>
                </c:pt>
                <c:pt idx="1">
                  <c:v>Landslide</c:v>
                </c:pt>
                <c:pt idx="2">
                  <c:v>Nail-Biter</c:v>
                </c:pt>
              </c:strCache>
            </c:strRef>
          </c:cat>
          <c:val>
            <c:numRef>
              <c:f>'PT-4'!$B$4:$B$7</c:f>
              <c:numCache>
                <c:formatCode>General</c:formatCode>
                <c:ptCount val="3"/>
                <c:pt idx="0">
                  <c:v>9</c:v>
                </c:pt>
                <c:pt idx="1">
                  <c:v>35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2-4264-9CB5-4FE241951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Election_data!$M$16:$M$48</c:f>
              <c:strCache>
                <c:ptCount val="33"/>
                <c:pt idx="0">
                  <c:v>Landslide</c:v>
                </c:pt>
                <c:pt idx="1">
                  <c:v>Nail-Biter</c:v>
                </c:pt>
                <c:pt idx="2">
                  <c:v>Landslide</c:v>
                </c:pt>
                <c:pt idx="3">
                  <c:v>Landslide</c:v>
                </c:pt>
                <c:pt idx="4">
                  <c:v>Comfortable</c:v>
                </c:pt>
                <c:pt idx="5">
                  <c:v>Landslide</c:v>
                </c:pt>
                <c:pt idx="6">
                  <c:v>Landslide</c:v>
                </c:pt>
                <c:pt idx="7">
                  <c:v>Landslide</c:v>
                </c:pt>
                <c:pt idx="8">
                  <c:v>Landslide</c:v>
                </c:pt>
                <c:pt idx="9">
                  <c:v>Comfortable</c:v>
                </c:pt>
                <c:pt idx="10">
                  <c:v>Landslide</c:v>
                </c:pt>
                <c:pt idx="11">
                  <c:v>Landslide</c:v>
                </c:pt>
                <c:pt idx="12">
                  <c:v>Landslide</c:v>
                </c:pt>
                <c:pt idx="13">
                  <c:v>Comfortable</c:v>
                </c:pt>
                <c:pt idx="14">
                  <c:v>Landslide</c:v>
                </c:pt>
                <c:pt idx="15">
                  <c:v>Comfortable</c:v>
                </c:pt>
                <c:pt idx="16">
                  <c:v>Landslide</c:v>
                </c:pt>
                <c:pt idx="17">
                  <c:v>Landslide</c:v>
                </c:pt>
                <c:pt idx="18">
                  <c:v>Landslide</c:v>
                </c:pt>
                <c:pt idx="19">
                  <c:v>Landslide</c:v>
                </c:pt>
                <c:pt idx="20">
                  <c:v>Landslide</c:v>
                </c:pt>
                <c:pt idx="21">
                  <c:v>Landslide</c:v>
                </c:pt>
                <c:pt idx="22">
                  <c:v>Landslide</c:v>
                </c:pt>
                <c:pt idx="23">
                  <c:v>Landslide</c:v>
                </c:pt>
                <c:pt idx="24">
                  <c:v>Comfortable</c:v>
                </c:pt>
                <c:pt idx="25">
                  <c:v>Landslide</c:v>
                </c:pt>
                <c:pt idx="26">
                  <c:v>Landslide</c:v>
                </c:pt>
                <c:pt idx="27">
                  <c:v>Landslide</c:v>
                </c:pt>
                <c:pt idx="28">
                  <c:v>Comfortable</c:v>
                </c:pt>
                <c:pt idx="29">
                  <c:v>Landslide</c:v>
                </c:pt>
                <c:pt idx="30">
                  <c:v>Comfortable</c:v>
                </c:pt>
                <c:pt idx="31">
                  <c:v>Landslide</c:v>
                </c:pt>
                <c:pt idx="32">
                  <c:v>Nail-Biter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Election_data!$M$49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79-49F5-A66B-20A56B822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Election_data!$M$2:$M$48</c:f>
              <c:strCache>
                <c:ptCount val="47"/>
                <c:pt idx="0">
                  <c:v>Landslide</c:v>
                </c:pt>
                <c:pt idx="1">
                  <c:v>Landslide</c:v>
                </c:pt>
                <c:pt idx="2">
                  <c:v>Landslide</c:v>
                </c:pt>
                <c:pt idx="3">
                  <c:v>Landslide</c:v>
                </c:pt>
                <c:pt idx="4">
                  <c:v>Landslide</c:v>
                </c:pt>
                <c:pt idx="5">
                  <c:v>Landslide</c:v>
                </c:pt>
                <c:pt idx="6">
                  <c:v>Landslide</c:v>
                </c:pt>
                <c:pt idx="7">
                  <c:v>Landslide</c:v>
                </c:pt>
                <c:pt idx="8">
                  <c:v>Nail-Biter</c:v>
                </c:pt>
                <c:pt idx="9">
                  <c:v>Landslide</c:v>
                </c:pt>
                <c:pt idx="10">
                  <c:v>Nail-Biter</c:v>
                </c:pt>
                <c:pt idx="11">
                  <c:v>Comfortable</c:v>
                </c:pt>
                <c:pt idx="12">
                  <c:v>Landslide</c:v>
                </c:pt>
                <c:pt idx="13">
                  <c:v>Landslide</c:v>
                </c:pt>
                <c:pt idx="14">
                  <c:v>Landslide</c:v>
                </c:pt>
                <c:pt idx="15">
                  <c:v>Nail-Biter</c:v>
                </c:pt>
                <c:pt idx="16">
                  <c:v>Landslide</c:v>
                </c:pt>
                <c:pt idx="17">
                  <c:v>Landslide</c:v>
                </c:pt>
                <c:pt idx="18">
                  <c:v>Comfortable</c:v>
                </c:pt>
                <c:pt idx="19">
                  <c:v>Landslide</c:v>
                </c:pt>
                <c:pt idx="20">
                  <c:v>Landslide</c:v>
                </c:pt>
                <c:pt idx="21">
                  <c:v>Landslide</c:v>
                </c:pt>
                <c:pt idx="22">
                  <c:v>Landslide</c:v>
                </c:pt>
                <c:pt idx="23">
                  <c:v>Comfortable</c:v>
                </c:pt>
                <c:pt idx="24">
                  <c:v>Landslide</c:v>
                </c:pt>
                <c:pt idx="25">
                  <c:v>Landslide</c:v>
                </c:pt>
                <c:pt idx="26">
                  <c:v>Landslide</c:v>
                </c:pt>
                <c:pt idx="27">
                  <c:v>Comfortable</c:v>
                </c:pt>
                <c:pt idx="28">
                  <c:v>Landslide</c:v>
                </c:pt>
                <c:pt idx="29">
                  <c:v>Comfortable</c:v>
                </c:pt>
                <c:pt idx="30">
                  <c:v>Landslide</c:v>
                </c:pt>
                <c:pt idx="31">
                  <c:v>Landslide</c:v>
                </c:pt>
                <c:pt idx="32">
                  <c:v>Landslide</c:v>
                </c:pt>
                <c:pt idx="33">
                  <c:v>Landslide</c:v>
                </c:pt>
                <c:pt idx="34">
                  <c:v>Landslide</c:v>
                </c:pt>
                <c:pt idx="35">
                  <c:v>Landslide</c:v>
                </c:pt>
                <c:pt idx="36">
                  <c:v>Landslide</c:v>
                </c:pt>
                <c:pt idx="37">
                  <c:v>Landslide</c:v>
                </c:pt>
                <c:pt idx="38">
                  <c:v>Comfortable</c:v>
                </c:pt>
                <c:pt idx="39">
                  <c:v>Landslide</c:v>
                </c:pt>
                <c:pt idx="40">
                  <c:v>Landslide</c:v>
                </c:pt>
                <c:pt idx="41">
                  <c:v>Landslide</c:v>
                </c:pt>
                <c:pt idx="42">
                  <c:v>Comfortable</c:v>
                </c:pt>
                <c:pt idx="43">
                  <c:v>Landslide</c:v>
                </c:pt>
                <c:pt idx="44">
                  <c:v>Comfortable</c:v>
                </c:pt>
                <c:pt idx="45">
                  <c:v>Landslide</c:v>
                </c:pt>
                <c:pt idx="46">
                  <c:v>Nail-Biter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Election_data!$M$49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8-4519-975E-0B2F52734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4</xdr:row>
      <xdr:rowOff>180975</xdr:rowOff>
    </xdr:from>
    <xdr:to>
      <xdr:col>20</xdr:col>
      <xdr:colOff>590550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5C7CF-3231-09A9-20B7-56529EE73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47625</xdr:colOff>
      <xdr:row>3</xdr:row>
      <xdr:rowOff>95250</xdr:rowOff>
    </xdr:from>
    <xdr:to>
      <xdr:col>8</xdr:col>
      <xdr:colOff>47625</xdr:colOff>
      <xdr:row>17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arty">
              <a:extLst>
                <a:ext uri="{FF2B5EF4-FFF2-40B4-BE49-F238E27FC236}">
                  <a16:creationId xmlns:a16="http://schemas.microsoft.com/office/drawing/2014/main" id="{CC9B987F-56E6-6A0B-6EB1-B30499068E68}"/>
                </a:ext>
                <a:ext uri="{147F2762-F138-4A5C-976F-8EAC2B608ADB}">
                  <a16:predDERef xmlns:a16="http://schemas.microsoft.com/office/drawing/2014/main" pred="{AFE5C7CF-3231-09A9-20B7-56529EE736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2825" y="666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685800</xdr:colOff>
      <xdr:row>11</xdr:row>
      <xdr:rowOff>142875</xdr:rowOff>
    </xdr:from>
    <xdr:to>
      <xdr:col>4</xdr:col>
      <xdr:colOff>381000</xdr:colOff>
      <xdr:row>25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9F3FBECF-9A38-E1D4-B91F-F069D4403D06}"/>
                </a:ext>
                <a:ext uri="{147F2762-F138-4A5C-976F-8EAC2B608ADB}">
                  <a16:predDERef xmlns:a16="http://schemas.microsoft.com/office/drawing/2014/main" pred="{CC9B987F-56E6-6A0B-6EB1-B30499068E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22383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0</xdr:row>
      <xdr:rowOff>0</xdr:rowOff>
    </xdr:from>
    <xdr:to>
      <xdr:col>24</xdr:col>
      <xdr:colOff>152400</xdr:colOff>
      <xdr:row>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29213-B538-7D29-F188-3BD4BC090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161925</xdr:colOff>
      <xdr:row>24</xdr:row>
      <xdr:rowOff>85725</xdr:rowOff>
    </xdr:from>
    <xdr:to>
      <xdr:col>16</xdr:col>
      <xdr:colOff>161925</xdr:colOff>
      <xdr:row>38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onstituency">
              <a:extLst>
                <a:ext uri="{FF2B5EF4-FFF2-40B4-BE49-F238E27FC236}">
                  <a16:creationId xmlns:a16="http://schemas.microsoft.com/office/drawing/2014/main" id="{E2ECCC7D-EC05-7A08-56DB-F2C4429944AE}"/>
                </a:ext>
                <a:ext uri="{147F2762-F138-4A5C-976F-8EAC2B608ADB}">
                  <a16:predDERef xmlns:a16="http://schemas.microsoft.com/office/drawing/2014/main" pred="{61629213-B538-7D29-F188-3BD4BC0900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tituenc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96225" y="4657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542925</xdr:colOff>
      <xdr:row>24</xdr:row>
      <xdr:rowOff>47625</xdr:rowOff>
    </xdr:from>
    <xdr:to>
      <xdr:col>12</xdr:col>
      <xdr:colOff>542925</xdr:colOff>
      <xdr:row>38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ndidate">
              <a:extLst>
                <a:ext uri="{FF2B5EF4-FFF2-40B4-BE49-F238E27FC236}">
                  <a16:creationId xmlns:a16="http://schemas.microsoft.com/office/drawing/2014/main" id="{ED811C29-9799-6313-169E-AD64AC760A6B}"/>
                </a:ext>
                <a:ext uri="{147F2762-F138-4A5C-976F-8EAC2B608ADB}">
                  <a16:predDERef xmlns:a16="http://schemas.microsoft.com/office/drawing/2014/main" pred="{E2ECCC7D-EC05-7A08-56DB-F2C4429944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di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38825" y="46196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438150</xdr:colOff>
      <xdr:row>12</xdr:row>
      <xdr:rowOff>38100</xdr:rowOff>
    </xdr:from>
    <xdr:to>
      <xdr:col>9</xdr:col>
      <xdr:colOff>276225</xdr:colOff>
      <xdr:row>26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arty 1">
              <a:extLst>
                <a:ext uri="{FF2B5EF4-FFF2-40B4-BE49-F238E27FC236}">
                  <a16:creationId xmlns:a16="http://schemas.microsoft.com/office/drawing/2014/main" id="{65E5DF4D-BB50-EDEE-407C-F83C0491FB82}"/>
                </a:ext>
                <a:ext uri="{147F2762-F138-4A5C-976F-8EAC2B608ADB}">
                  <a16:predDERef xmlns:a16="http://schemas.microsoft.com/office/drawing/2014/main" pred="{ED811C29-9799-6313-169E-AD64AC760A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t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3325" y="2324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552450</xdr:colOff>
      <xdr:row>12</xdr:row>
      <xdr:rowOff>19050</xdr:rowOff>
    </xdr:from>
    <xdr:to>
      <xdr:col>6</xdr:col>
      <xdr:colOff>409575</xdr:colOff>
      <xdr:row>25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Votes">
              <a:extLst>
                <a:ext uri="{FF2B5EF4-FFF2-40B4-BE49-F238E27FC236}">
                  <a16:creationId xmlns:a16="http://schemas.microsoft.com/office/drawing/2014/main" id="{A2512B7E-E5F3-1C63-7A4C-AF52FEEABB8D}"/>
                </a:ext>
                <a:ext uri="{147F2762-F138-4A5C-976F-8EAC2B608ADB}">
                  <a16:predDERef xmlns:a16="http://schemas.microsoft.com/office/drawing/2014/main" pred="{65E5DF4D-BB50-EDEE-407C-F83C0491FB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ot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5950" y="2305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12</xdr:row>
      <xdr:rowOff>9525</xdr:rowOff>
    </xdr:from>
    <xdr:to>
      <xdr:col>1</xdr:col>
      <xdr:colOff>495300</xdr:colOff>
      <xdr:row>25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 1">
              <a:extLst>
                <a:ext uri="{FF2B5EF4-FFF2-40B4-BE49-F238E27FC236}">
                  <a16:creationId xmlns:a16="http://schemas.microsoft.com/office/drawing/2014/main" id="{39C7A52C-0D91-9837-56F4-5E7DC557E80E}"/>
                </a:ext>
                <a:ext uri="{147F2762-F138-4A5C-976F-8EAC2B608ADB}">
                  <a16:predDERef xmlns:a16="http://schemas.microsoft.com/office/drawing/2014/main" pred="{A2512B7E-E5F3-1C63-7A4C-AF52FEEABB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95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10</xdr:row>
      <xdr:rowOff>0</xdr:rowOff>
    </xdr:from>
    <xdr:to>
      <xdr:col>13</xdr:col>
      <xdr:colOff>142875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85E682-C387-9056-0402-7D3B1F963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7</xdr:row>
      <xdr:rowOff>0</xdr:rowOff>
    </xdr:from>
    <xdr:to>
      <xdr:col>9</xdr:col>
      <xdr:colOff>466725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08D878-4191-DD87-04E8-3BE5E81D8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56</xdr:row>
      <xdr:rowOff>85725</xdr:rowOff>
    </xdr:from>
    <xdr:to>
      <xdr:col>9</xdr:col>
      <xdr:colOff>142875</xdr:colOff>
      <xdr:row>70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B975EF-5C1B-8BC5-C4B4-37667FC3D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247650</xdr:colOff>
      <xdr:row>55</xdr:row>
      <xdr:rowOff>171450</xdr:rowOff>
    </xdr:from>
    <xdr:to>
      <xdr:col>13</xdr:col>
      <xdr:colOff>504825</xdr:colOff>
      <xdr:row>70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BF00E7-2B6B-25BB-95ED-C285C7D993AE}"/>
            </a:ext>
            <a:ext uri="{147F2762-F138-4A5C-976F-8EAC2B608ADB}">
              <a16:predDERef xmlns:a16="http://schemas.microsoft.com/office/drawing/2014/main" pred="{CBB975EF-5C1B-8BC5-C4B4-37667FC3D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5.746215856481" createdVersion="8" refreshedVersion="8" minRefreshableVersion="3" recordCount="48" xr:uid="{4F72F7D4-CDED-4800-97FD-2A7F39E05122}">
  <cacheSource type="worksheet">
    <worksheetSource name="Table1"/>
  </cacheSource>
  <cacheFields count="15">
    <cacheField name="Constituency" numFmtId="0">
      <sharedItems count="48">
        <s v="Nandurbar"/>
        <s v="Dhule"/>
        <s v="Jalgaon"/>
        <s v="Raver"/>
        <s v="Buldhana"/>
        <s v="Akola"/>
        <s v="Amravati"/>
        <s v="Wardha"/>
        <s v="Ramtek"/>
        <s v="Nagpur"/>
        <s v="Bhandara-Gondiya"/>
        <s v="Gadchiroli-Chimur"/>
        <s v="Chandrapur"/>
        <s v="Yavatmal-Washim"/>
        <s v="Hingoli"/>
        <s v="Nanded"/>
        <s v="Parbhani"/>
        <s v="Jalna"/>
        <s v="Aurangabad"/>
        <s v="Dindori"/>
        <s v="Nashik"/>
        <s v="Palghar"/>
        <s v="Bhiwandi"/>
        <s v="Kalyan"/>
        <s v="Thane"/>
        <s v="Mumbai North"/>
        <s v="Mumbai North West"/>
        <s v="Mumbai North East"/>
        <s v="Mumbai North Central"/>
        <s v="Mumbai South Central"/>
        <s v="Mumbai South"/>
        <s v="Raigad"/>
        <s v="Maval"/>
        <s v="Pune"/>
        <s v="Baramati"/>
        <s v="Shirur"/>
        <s v="Ahmednagar"/>
        <s v="Shirdi"/>
        <s v="Beed"/>
        <s v="Osmanabad"/>
        <s v="Latur"/>
        <s v="Solapur"/>
        <s v="Madha"/>
        <s v="Sangli"/>
        <s v="Satara"/>
        <s v="Ratnagiri-Sindhudurg"/>
        <s v="Kolhapur"/>
        <s v="Hatkanangle"/>
      </sharedItems>
    </cacheField>
    <cacheField name="Candidate" numFmtId="0">
      <sharedItems count="46">
        <s v="Sanjay More"/>
        <s v="Rajesh Gadre"/>
        <s v="Dhananjay Gholap"/>
        <s v="Ashok Pawar"/>
        <s v="Anil Danve"/>
        <s v="Prakash Pawar"/>
        <s v="Sudhir Patil"/>
        <s v="Prakash Shelke"/>
        <s v="Devendra Deshmukh"/>
        <s v="Sanjay Patil"/>
        <s v="Dhananjay Bhosale"/>
        <s v="Radhakrishna Bhagwat"/>
        <s v="Radhakrishna Kharse"/>
        <s v="Vijay Tatkare"/>
        <s v="Milind Shinde"/>
        <s v="Sanjay Deshmukh"/>
        <s v="Sambhaji Shelke"/>
        <s v="Piyush Bapat"/>
        <s v="Ashok Bhagwat"/>
        <s v="Chhagan Gaikwad"/>
        <s v="Chhagan Deshmukh"/>
        <s v="Devendra Shinde"/>
        <s v="Supriya Danve"/>
        <s v="Chhagan Pawar"/>
        <s v="Ashok Patil"/>
        <s v="Uddhav Kharse"/>
        <s v="Supriya More"/>
        <s v="Udayanraje Deshmukh"/>
        <s v="Udayanraje Kadam"/>
        <s v="Anil Shinde"/>
        <s v="Sanjay Munde"/>
        <s v="Sanjay Gadre"/>
        <s v="Ajit Chavan"/>
        <s v="Ravi Rane"/>
        <s v="Piyush Danve"/>
        <s v="Sunil Kadam"/>
        <s v="Pankaja Bhosale"/>
        <s v="Sharad Danve"/>
        <s v="Devendra Kharse"/>
        <s v="Fadnavis Gadre"/>
        <s v="Nitin Bhosale"/>
        <s v="Ravi Danve"/>
        <s v="Sharad Gaikwad"/>
        <s v="Ajit Gaikwad"/>
        <s v="Dhananjay Bapat"/>
        <s v="Ashok Chavan"/>
      </sharedItems>
    </cacheField>
    <cacheField name="Party" numFmtId="0">
      <sharedItems count="6">
        <s v="BJP"/>
        <s v="INC"/>
        <s v="NCP(SP)"/>
        <s v="SHS"/>
        <s v="SHS(UBT)"/>
        <s v="NCP"/>
      </sharedItems>
    </cacheField>
    <cacheField name="Votes" numFmtId="166">
      <sharedItems containsSemiMixedTypes="0" containsString="0" containsNumber="1" containsInteger="1" minValue="355055" maxValue="839839" count="48">
        <n v="438773"/>
        <n v="724428"/>
        <n v="375131"/>
        <n v="533966"/>
        <n v="640089"/>
        <n v="578731"/>
        <n v="655868"/>
        <n v="355055"/>
        <n v="686833"/>
        <n v="362521"/>
        <n v="740675"/>
        <n v="466256"/>
        <n v="628331"/>
        <n v="758261"/>
        <n v="764690"/>
        <n v="408436"/>
        <n v="838031"/>
        <n v="632028"/>
        <n v="815978"/>
        <n v="374366"/>
        <n v="507610"/>
        <n v="792807"/>
        <n v="409755"/>
        <n v="433234"/>
        <n v="796335"/>
        <n v="709994"/>
        <n v="446874"/>
        <n v="452996"/>
        <n v="734874"/>
        <n v="839839"/>
        <n v="547404"/>
        <n v="766335"/>
        <n v="446288"/>
        <n v="551508"/>
        <n v="671534"/>
        <n v="736376"/>
        <n v="639334"/>
        <n v="578077"/>
        <n v="368400"/>
        <n v="406229"/>
        <n v="736321"/>
        <n v="819012"/>
        <n v="637355"/>
        <n v="521540"/>
        <n v="529331"/>
        <n v="382068"/>
        <n v="606474"/>
        <n v="526890"/>
      </sharedItems>
    </cacheField>
    <cacheField name="Runner_Up" numFmtId="0">
      <sharedItems/>
    </cacheField>
    <cacheField name="Runner_Party" numFmtId="0">
      <sharedItems/>
    </cacheField>
    <cacheField name="Runner_Votes" numFmtId="0">
      <sharedItems containsSemiMixedTypes="0" containsString="0" containsNumber="1" containsInteger="1" minValue="150065" maxValue="714842"/>
    </cacheField>
    <cacheField name="Age" numFmtId="0">
      <sharedItems containsSemiMixedTypes="0" containsString="0" containsNumber="1" containsInteger="1" minValue="35" maxValue="74"/>
    </cacheField>
    <cacheField name="Education" numFmtId="0">
      <sharedItems/>
    </cacheField>
    <cacheField name="Assets_Cr" numFmtId="164">
      <sharedItems containsSemiMixedTypes="0" containsString="0" containsNumber="1" minValue="0.7" maxValue="42.6"/>
    </cacheField>
    <cacheField name="Margin" numFmtId="0">
      <sharedItems containsSemiMixedTypes="0" containsString="0" containsNumber="1" containsInteger="1" minValue="24454" maxValue="426147"/>
    </cacheField>
    <cacheField name="Margin%" numFmtId="10">
      <sharedItems containsSemiMixedTypes="0" containsString="0" containsNumber="1" minValue="5.6828952598375441E-2" maxValue="0.5798912466626932"/>
    </cacheField>
    <cacheField name="Win_Type" numFmtId="0">
      <sharedItems count="3">
        <s v="Landslide"/>
        <s v="Nail-Biter"/>
        <s v="Comfortable"/>
      </sharedItems>
    </cacheField>
    <cacheField name="Asset_Category" numFmtId="0">
      <sharedItems/>
    </cacheField>
    <cacheField name="Region" numFmtId="0">
      <sharedItems count="6">
        <s v="North Maharashtra"/>
        <s v="Vidarbha"/>
        <s v="Marathwada"/>
        <s v="Konkan"/>
        <s v="Mumbai"/>
        <s v="Western Maharashtra"/>
      </sharedItems>
    </cacheField>
  </cacheFields>
  <extLst>
    <ext xmlns:x14="http://schemas.microsoft.com/office/spreadsheetml/2009/9/main" uri="{725AE2AE-9491-48be-B2B4-4EB974FC3084}">
      <x14:pivotCacheDefinition pivotCacheId="14843992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x v="0"/>
    <x v="0"/>
    <s v="Ravi Gadre"/>
    <s v="IND"/>
    <n v="284827"/>
    <n v="63"/>
    <s v="Doctorate"/>
    <n v="41.6"/>
    <n v="153946"/>
    <n v="0.350855681639481"/>
    <x v="0"/>
    <s v="Ultra Rich"/>
    <x v="0"/>
  </r>
  <r>
    <x v="1"/>
    <x v="1"/>
    <x v="0"/>
    <x v="1"/>
    <s v="Radhakrishna Bapat"/>
    <s v="IND"/>
    <n v="438459"/>
    <n v="50"/>
    <s v="Post Graduate"/>
    <n v="2.9"/>
    <n v="285969"/>
    <n v="0.39475144527820571"/>
    <x v="0"/>
    <s v="Low"/>
    <x v="0"/>
  </r>
  <r>
    <x v="2"/>
    <x v="2"/>
    <x v="0"/>
    <x v="2"/>
    <s v="Prakash Gholap"/>
    <s v="IND"/>
    <n v="177592"/>
    <n v="64"/>
    <s v="Post Graduate"/>
    <n v="34.6"/>
    <n v="197539"/>
    <n v="0.52658671237514365"/>
    <x v="0"/>
    <s v="Ultra Rich"/>
    <x v="0"/>
  </r>
  <r>
    <x v="3"/>
    <x v="3"/>
    <x v="0"/>
    <x v="3"/>
    <s v="Devendra Gholap"/>
    <s v="SHS"/>
    <n v="332288"/>
    <n v="71"/>
    <s v="12th Pass"/>
    <n v="18.2"/>
    <n v="201678"/>
    <n v="0.37769820550372118"/>
    <x v="0"/>
    <s v="Rich"/>
    <x v="0"/>
  </r>
  <r>
    <x v="4"/>
    <x v="4"/>
    <x v="1"/>
    <x v="4"/>
    <s v="Prakash Danve"/>
    <s v="SHS"/>
    <n v="329104"/>
    <n v="36"/>
    <s v="Doctorate"/>
    <n v="29"/>
    <n v="310985"/>
    <n v="0.48584649947116731"/>
    <x v="0"/>
    <s v="Rich"/>
    <x v="1"/>
  </r>
  <r>
    <x v="5"/>
    <x v="5"/>
    <x v="2"/>
    <x v="5"/>
    <s v="Radhakrishna Rane"/>
    <s v="SHS"/>
    <n v="286346"/>
    <n v="72"/>
    <s v="Doctorate"/>
    <n v="15.5"/>
    <n v="292385"/>
    <n v="0.50521744990332296"/>
    <x v="0"/>
    <s v="Rich"/>
    <x v="1"/>
  </r>
  <r>
    <x v="6"/>
    <x v="6"/>
    <x v="3"/>
    <x v="6"/>
    <s v="Udayanraje Gaikwad"/>
    <s v="INC"/>
    <n v="349919"/>
    <n v="72"/>
    <s v="12th Pass"/>
    <n v="28.8"/>
    <n v="305949"/>
    <n v="0.4664795355162929"/>
    <x v="0"/>
    <s v="Rich"/>
    <x v="1"/>
  </r>
  <r>
    <x v="7"/>
    <x v="7"/>
    <x v="2"/>
    <x v="7"/>
    <s v="Rajesh Danve"/>
    <s v="BJP"/>
    <n v="150065"/>
    <n v="55"/>
    <s v="10th Pass"/>
    <n v="15.9"/>
    <n v="204990"/>
    <n v="0.57734717156496884"/>
    <x v="0"/>
    <s v="Rich"/>
    <x v="1"/>
  </r>
  <r>
    <x v="8"/>
    <x v="8"/>
    <x v="4"/>
    <x v="8"/>
    <s v="Radhakrishna Bhosale"/>
    <s v="BJP"/>
    <n v="647801"/>
    <n v="48"/>
    <s v="12th Pass"/>
    <n v="8.5"/>
    <n v="39032"/>
    <n v="5.6828952598375441E-2"/>
    <x v="1"/>
    <s v="Average"/>
    <x v="1"/>
  </r>
  <r>
    <x v="9"/>
    <x v="9"/>
    <x v="5"/>
    <x v="9"/>
    <s v="Prakash Danve"/>
    <s v="SHS"/>
    <n v="156743"/>
    <n v="60"/>
    <s v="Graduate"/>
    <n v="7.1"/>
    <n v="205778"/>
    <n v="0.56763056485003627"/>
    <x v="0"/>
    <s v="Average"/>
    <x v="1"/>
  </r>
  <r>
    <x v="10"/>
    <x v="10"/>
    <x v="1"/>
    <x v="10"/>
    <s v="Ravi Patil"/>
    <s v="NCP"/>
    <n v="680945"/>
    <n v="47"/>
    <s v="Graduate"/>
    <n v="35.9"/>
    <n v="59730"/>
    <n v="8.0642657035811929E-2"/>
    <x v="1"/>
    <s v="Ultra Rich"/>
    <x v="1"/>
  </r>
  <r>
    <x v="11"/>
    <x v="11"/>
    <x v="0"/>
    <x v="11"/>
    <s v="Sanjay Danve"/>
    <s v="SHS"/>
    <n v="388497"/>
    <n v="42"/>
    <s v="10th Pass"/>
    <n v="18.5"/>
    <n v="77759"/>
    <n v="0.16677318897772897"/>
    <x v="2"/>
    <s v="Rich"/>
    <x v="1"/>
  </r>
  <r>
    <x v="12"/>
    <x v="12"/>
    <x v="1"/>
    <x v="12"/>
    <s v="Sharad Chavan"/>
    <s v="NCP(SP)"/>
    <n v="276152"/>
    <n v="48"/>
    <s v="Graduate"/>
    <n v="9.1999999999999993"/>
    <n v="352179"/>
    <n v="0.56049916365737162"/>
    <x v="0"/>
    <s v="Average"/>
    <x v="1"/>
  </r>
  <r>
    <x v="13"/>
    <x v="13"/>
    <x v="4"/>
    <x v="13"/>
    <s v="Sudhir Munde"/>
    <s v="NCP"/>
    <n v="363481"/>
    <n v="62"/>
    <s v="10th Pass"/>
    <n v="41.9"/>
    <n v="394780"/>
    <n v="0.52063867190848534"/>
    <x v="0"/>
    <s v="Ultra Rich"/>
    <x v="1"/>
  </r>
  <r>
    <x v="14"/>
    <x v="14"/>
    <x v="4"/>
    <x v="14"/>
    <s v="Sharad Danve"/>
    <s v="BJP"/>
    <n v="449067"/>
    <n v="40"/>
    <s v="Doctorate"/>
    <n v="0.7"/>
    <n v="315623"/>
    <n v="0.41274634165478824"/>
    <x v="0"/>
    <s v="Low"/>
    <x v="2"/>
  </r>
  <r>
    <x v="15"/>
    <x v="15"/>
    <x v="1"/>
    <x v="15"/>
    <s v="Uddhav Patil"/>
    <s v="NCP"/>
    <n v="383982"/>
    <n v="74"/>
    <s v="12th Pass"/>
    <n v="12.3"/>
    <n v="24454"/>
    <n v="5.9872293333594492E-2"/>
    <x v="1"/>
    <s v="Average"/>
    <x v="2"/>
  </r>
  <r>
    <x v="16"/>
    <x v="16"/>
    <x v="5"/>
    <x v="16"/>
    <s v="Ajit Deshmukh"/>
    <s v="SHS"/>
    <n v="479516"/>
    <n v="47"/>
    <s v="Post Graduate"/>
    <n v="20.2"/>
    <n v="358515"/>
    <n v="0.42780636993142257"/>
    <x v="0"/>
    <s v="Rich"/>
    <x v="2"/>
  </r>
  <r>
    <x v="17"/>
    <x v="17"/>
    <x v="1"/>
    <x v="17"/>
    <s v="Sanjay Gholap"/>
    <s v="BJP"/>
    <n v="308706"/>
    <n v="69"/>
    <s v="12th Pass"/>
    <n v="29"/>
    <n v="323322"/>
    <n v="0.51156277886422752"/>
    <x v="0"/>
    <s v="Rich"/>
    <x v="2"/>
  </r>
  <r>
    <x v="18"/>
    <x v="18"/>
    <x v="5"/>
    <x v="18"/>
    <s v="Udayanraje More"/>
    <s v="INC"/>
    <n v="655940"/>
    <n v="48"/>
    <s v="10th Pass"/>
    <n v="38.1"/>
    <n v="160038"/>
    <n v="0.19613028782638747"/>
    <x v="2"/>
    <s v="Ultra Rich"/>
    <x v="2"/>
  </r>
  <r>
    <x v="19"/>
    <x v="19"/>
    <x v="1"/>
    <x v="19"/>
    <s v="Ashok More"/>
    <s v="SHS(UBT)"/>
    <n v="192683"/>
    <n v="53"/>
    <s v="10th Pass"/>
    <n v="20"/>
    <n v="181683"/>
    <n v="0.48530849489536976"/>
    <x v="0"/>
    <s v="Rich"/>
    <x v="0"/>
  </r>
  <r>
    <x v="20"/>
    <x v="20"/>
    <x v="5"/>
    <x v="20"/>
    <s v="Milind Munde"/>
    <s v="NCP(SP)"/>
    <n v="344051"/>
    <n v="60"/>
    <s v="Doctorate"/>
    <n v="29.2"/>
    <n v="163559"/>
    <n v="0.32221390437540631"/>
    <x v="0"/>
    <s v="Rich"/>
    <x v="0"/>
  </r>
  <r>
    <x v="21"/>
    <x v="21"/>
    <x v="3"/>
    <x v="21"/>
    <s v="Uddhav Danve"/>
    <s v="BJP"/>
    <n v="398134"/>
    <n v="68"/>
    <s v="Graduate"/>
    <n v="40.4"/>
    <n v="394673"/>
    <n v="0.49781724934315663"/>
    <x v="0"/>
    <s v="Ultra Rich"/>
    <x v="3"/>
  </r>
  <r>
    <x v="22"/>
    <x v="22"/>
    <x v="0"/>
    <x v="22"/>
    <s v="Fadnavis Shelke"/>
    <s v="NCP(SP)"/>
    <n v="219333"/>
    <n v="59"/>
    <s v="Professional"/>
    <n v="39.5"/>
    <n v="190422"/>
    <n v="0.46472160193286233"/>
    <x v="0"/>
    <s v="Ultra Rich"/>
    <x v="3"/>
  </r>
  <r>
    <x v="23"/>
    <x v="23"/>
    <x v="4"/>
    <x v="23"/>
    <s v="Rajesh Tatkare"/>
    <s v="NCP(SP)"/>
    <n v="350382"/>
    <n v="53"/>
    <s v="Doctorate"/>
    <n v="24.4"/>
    <n v="82852"/>
    <n v="0.19124076134375417"/>
    <x v="2"/>
    <s v="Rich"/>
    <x v="3"/>
  </r>
  <r>
    <x v="24"/>
    <x v="24"/>
    <x v="1"/>
    <x v="24"/>
    <s v="Devendra Jadhav"/>
    <s v="IND"/>
    <n v="521415"/>
    <n v="59"/>
    <s v="Doctorate"/>
    <n v="10.4"/>
    <n v="274920"/>
    <n v="0.34523159223191247"/>
    <x v="0"/>
    <s v="Average"/>
    <x v="3"/>
  </r>
  <r>
    <x v="25"/>
    <x v="25"/>
    <x v="1"/>
    <x v="25"/>
    <s v="Sanjay Patil"/>
    <s v="SHS"/>
    <n v="524303"/>
    <n v="35"/>
    <s v="Professional"/>
    <n v="41.8"/>
    <n v="185691"/>
    <n v="0.26153882990560484"/>
    <x v="0"/>
    <s v="Ultra Rich"/>
    <x v="4"/>
  </r>
  <r>
    <x v="26"/>
    <x v="26"/>
    <x v="2"/>
    <x v="26"/>
    <s v="Ashok Gadre"/>
    <s v="NCP"/>
    <n v="240086"/>
    <n v="43"/>
    <s v="Post Graduate"/>
    <n v="20.7"/>
    <n v="206788"/>
    <n v="0.46274341313211331"/>
    <x v="0"/>
    <s v="Rich"/>
    <x v="4"/>
  </r>
  <r>
    <x v="27"/>
    <x v="27"/>
    <x v="5"/>
    <x v="27"/>
    <s v="Ashok More"/>
    <s v="INC"/>
    <n v="367437"/>
    <n v="68"/>
    <s v="Post Graduate"/>
    <n v="10.9"/>
    <n v="85559"/>
    <n v="0.18887363243825553"/>
    <x v="2"/>
    <s v="Average"/>
    <x v="4"/>
  </r>
  <r>
    <x v="28"/>
    <x v="28"/>
    <x v="0"/>
    <x v="28"/>
    <s v="Udayanraje Munde"/>
    <s v="NCP(SP)"/>
    <n v="308727"/>
    <n v="57"/>
    <s v="10th Pass"/>
    <n v="24.2"/>
    <n v="426147"/>
    <n v="0.5798912466626932"/>
    <x v="0"/>
    <s v="Rich"/>
    <x v="4"/>
  </r>
  <r>
    <x v="29"/>
    <x v="29"/>
    <x v="2"/>
    <x v="29"/>
    <s v="Sambhaji Gaikwad"/>
    <s v="SHS"/>
    <n v="714842"/>
    <n v="66"/>
    <s v="Post Graduate"/>
    <n v="41.3"/>
    <n v="124997"/>
    <n v="0.14883447898942537"/>
    <x v="2"/>
    <s v="Ultra Rich"/>
    <x v="4"/>
  </r>
  <r>
    <x v="30"/>
    <x v="30"/>
    <x v="0"/>
    <x v="30"/>
    <s v="Chhagan Jadhav"/>
    <s v="SHS(UBT)"/>
    <n v="428025"/>
    <n v="60"/>
    <s v="Doctorate"/>
    <n v="29.7"/>
    <n v="119379"/>
    <n v="0.21808207466514676"/>
    <x v="0"/>
    <s v="Rich"/>
    <x v="4"/>
  </r>
  <r>
    <x v="31"/>
    <x v="31"/>
    <x v="3"/>
    <x v="31"/>
    <s v="Rajesh Tatkare"/>
    <s v="NCP"/>
    <n v="414259"/>
    <n v="36"/>
    <s v="12th Pass"/>
    <n v="5.6"/>
    <n v="352076"/>
    <n v="0.45942831790274491"/>
    <x v="0"/>
    <s v="Average"/>
    <x v="3"/>
  </r>
  <r>
    <x v="32"/>
    <x v="32"/>
    <x v="4"/>
    <x v="32"/>
    <s v="Sharad Patil"/>
    <s v="BJP"/>
    <n v="279931"/>
    <n v="53"/>
    <s v="Post Graduate"/>
    <n v="16.2"/>
    <n v="166357"/>
    <n v="0.37275705374108198"/>
    <x v="0"/>
    <s v="Rich"/>
    <x v="5"/>
  </r>
  <r>
    <x v="33"/>
    <x v="12"/>
    <x v="4"/>
    <x v="33"/>
    <s v="Pankaja Pawar"/>
    <s v="SHS"/>
    <n v="296406"/>
    <n v="52"/>
    <s v="Graduate"/>
    <n v="19.7"/>
    <n v="255102"/>
    <n v="0.46255358036510802"/>
    <x v="0"/>
    <s v="Rich"/>
    <x v="5"/>
  </r>
  <r>
    <x v="34"/>
    <x v="33"/>
    <x v="0"/>
    <x v="34"/>
    <s v="Sudhir Jadhav"/>
    <s v="SHS(UBT)"/>
    <n v="340426"/>
    <n v="55"/>
    <s v="12th Pass"/>
    <n v="27.7"/>
    <n v="331108"/>
    <n v="0.49306215321934554"/>
    <x v="0"/>
    <s v="Rich"/>
    <x v="5"/>
  </r>
  <r>
    <x v="35"/>
    <x v="34"/>
    <x v="5"/>
    <x v="35"/>
    <s v="Ravi Patil"/>
    <s v="BJP"/>
    <n v="443823"/>
    <n v="35"/>
    <s v="Post Graduate"/>
    <n v="14.9"/>
    <n v="292553"/>
    <n v="0.39728752702423764"/>
    <x v="0"/>
    <s v="Average"/>
    <x v="5"/>
  </r>
  <r>
    <x v="36"/>
    <x v="35"/>
    <x v="2"/>
    <x v="36"/>
    <s v="Piyush Danve"/>
    <s v="NCP"/>
    <n v="442880"/>
    <n v="45"/>
    <s v="Doctorate"/>
    <n v="39"/>
    <n v="196454"/>
    <n v="0.30727913735230722"/>
    <x v="0"/>
    <s v="Ultra Rich"/>
    <x v="5"/>
  </r>
  <r>
    <x v="37"/>
    <x v="36"/>
    <x v="0"/>
    <x v="37"/>
    <s v="Ashok Danve"/>
    <s v="SHS"/>
    <n v="404680"/>
    <n v="64"/>
    <s v="10th Pass"/>
    <n v="42.2"/>
    <n v="173397"/>
    <n v="0.29995485030540914"/>
    <x v="0"/>
    <s v="Ultra Rich"/>
    <x v="5"/>
  </r>
  <r>
    <x v="38"/>
    <x v="37"/>
    <x v="2"/>
    <x v="38"/>
    <s v="Ajit Pawar"/>
    <s v="IND"/>
    <n v="325730"/>
    <n v="49"/>
    <s v="Professional"/>
    <n v="12.4"/>
    <n v="42670"/>
    <n v="0.11582519001085777"/>
    <x v="2"/>
    <s v="Average"/>
    <x v="2"/>
  </r>
  <r>
    <x v="39"/>
    <x v="38"/>
    <x v="5"/>
    <x v="39"/>
    <s v="Sanjay Munde"/>
    <s v="SHS"/>
    <n v="312348"/>
    <n v="69"/>
    <s v="Post Graduate"/>
    <n v="14.5"/>
    <n v="93881"/>
    <n v="0.23110363858808702"/>
    <x v="0"/>
    <s v="Average"/>
    <x v="2"/>
  </r>
  <r>
    <x v="40"/>
    <x v="35"/>
    <x v="0"/>
    <x v="40"/>
    <s v="Radhakrishna Kadam"/>
    <s v="SHS(UBT)"/>
    <n v="465661"/>
    <n v="53"/>
    <s v="12th Pass"/>
    <n v="42.6"/>
    <n v="270660"/>
    <n v="0.36758424654464561"/>
    <x v="0"/>
    <s v="Ultra Rich"/>
    <x v="2"/>
  </r>
  <r>
    <x v="41"/>
    <x v="39"/>
    <x v="0"/>
    <x v="41"/>
    <s v="Uddhav Bapat"/>
    <s v="IND"/>
    <n v="598013"/>
    <n v="71"/>
    <s v="Graduate"/>
    <n v="24.5"/>
    <n v="220999"/>
    <n v="0.26983609519762836"/>
    <x v="0"/>
    <s v="Rich"/>
    <x v="5"/>
  </r>
  <r>
    <x v="42"/>
    <x v="40"/>
    <x v="1"/>
    <x v="42"/>
    <s v="Sanjay Gaikwad"/>
    <s v="IND"/>
    <n v="518171"/>
    <n v="64"/>
    <s v="12th Pass"/>
    <n v="34.799999999999997"/>
    <n v="119184"/>
    <n v="0.18699782695671957"/>
    <x v="2"/>
    <s v="Ultra Rich"/>
    <x v="5"/>
  </r>
  <r>
    <x v="43"/>
    <x v="41"/>
    <x v="1"/>
    <x v="43"/>
    <s v="Sudhir Munde"/>
    <s v="BJP"/>
    <n v="386663"/>
    <n v="61"/>
    <s v="10th Pass"/>
    <n v="4.0999999999999996"/>
    <n v="134877"/>
    <n v="0.25861295394408867"/>
    <x v="0"/>
    <s v="Low"/>
    <x v="5"/>
  </r>
  <r>
    <x v="44"/>
    <x v="42"/>
    <x v="0"/>
    <x v="44"/>
    <s v="Sharad Rane"/>
    <s v="SHS"/>
    <n v="464770"/>
    <n v="64"/>
    <s v="Graduate"/>
    <n v="17.2"/>
    <n v="64561"/>
    <n v="0.1219671623237634"/>
    <x v="2"/>
    <s v="Rich"/>
    <x v="5"/>
  </r>
  <r>
    <x v="45"/>
    <x v="43"/>
    <x v="0"/>
    <x v="45"/>
    <s v="Devendra Tatkare"/>
    <s v="SHS(UBT)"/>
    <n v="298483"/>
    <n v="45"/>
    <s v="10th Pass"/>
    <n v="5.8"/>
    <n v="83585"/>
    <n v="0.21876995718039721"/>
    <x v="0"/>
    <s v="Average"/>
    <x v="3"/>
  </r>
  <r>
    <x v="46"/>
    <x v="44"/>
    <x v="4"/>
    <x v="46"/>
    <s v="Prakash Patil"/>
    <s v="INC"/>
    <n v="568403"/>
    <n v="59"/>
    <s v="Doctorate"/>
    <n v="34.700000000000003"/>
    <n v="38071"/>
    <n v="6.2774331628396268E-2"/>
    <x v="1"/>
    <s v="Ultra Rich"/>
    <x v="5"/>
  </r>
  <r>
    <x v="47"/>
    <x v="45"/>
    <x v="5"/>
    <x v="47"/>
    <s v="Udayanraje Tatkare"/>
    <s v="INC"/>
    <n v="450521"/>
    <n v="62"/>
    <s v="Professional"/>
    <n v="32.299999999999997"/>
    <n v="76369"/>
    <n v="0.14494296722275996"/>
    <x v="2"/>
    <s v="Ultra Rich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2DA3A-4FB4-4177-9AC1-25FA05963434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5">
    <pivotField compact="0" outline="0" showAll="0"/>
    <pivotField compact="0" outline="0" showAll="0"/>
    <pivotField axis="axisRow" dataField="1" compact="0" outline="0" showAll="0">
      <items count="7">
        <item x="0"/>
        <item x="1"/>
        <item h="1" x="5"/>
        <item x="2"/>
        <item h="1" x="3"/>
        <item x="4"/>
        <item t="default"/>
      </items>
    </pivotField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>
      <items count="7">
        <item h="1" x="3"/>
        <item h="1" x="2"/>
        <item h="1" x="4"/>
        <item h="1" x="0"/>
        <item h="1" x="1"/>
        <item x="5"/>
        <item t="default"/>
      </items>
    </pivotField>
  </pivotFields>
  <rowFields count="1">
    <field x="2"/>
  </rowFields>
  <rowItems count="5">
    <i>
      <x/>
    </i>
    <i>
      <x v="1"/>
    </i>
    <i>
      <x v="3"/>
    </i>
    <i>
      <x v="5"/>
    </i>
    <i t="grand">
      <x/>
    </i>
  </rowItems>
  <colItems count="1">
    <i/>
  </colItems>
  <dataFields count="1">
    <dataField name="Count of Party" fld="2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D85CD-88A9-4967-901D-B200A2697880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H11" firstHeaderRow="1" firstDataRow="2" firstDataCol="1"/>
  <pivotFields count="15">
    <pivotField compact="0" outline="0" showAll="0">
      <items count="49">
        <item x="36"/>
        <item x="5"/>
        <item x="6"/>
        <item x="18"/>
        <item x="34"/>
        <item x="38"/>
        <item x="10"/>
        <item x="22"/>
        <item x="4"/>
        <item x="12"/>
        <item x="1"/>
        <item x="19"/>
        <item x="11"/>
        <item x="47"/>
        <item x="14"/>
        <item x="2"/>
        <item x="17"/>
        <item x="23"/>
        <item x="46"/>
        <item x="40"/>
        <item x="42"/>
        <item x="32"/>
        <item x="25"/>
        <item x="28"/>
        <item x="27"/>
        <item x="26"/>
        <item x="30"/>
        <item x="29"/>
        <item x="9"/>
        <item x="15"/>
        <item x="0"/>
        <item x="20"/>
        <item x="39"/>
        <item x="21"/>
        <item x="16"/>
        <item x="33"/>
        <item x="31"/>
        <item x="8"/>
        <item x="45"/>
        <item x="3"/>
        <item x="43"/>
        <item x="44"/>
        <item x="37"/>
        <item x="35"/>
        <item x="41"/>
        <item x="24"/>
        <item x="7"/>
        <item x="13"/>
        <item t="default"/>
      </items>
    </pivotField>
    <pivotField compact="0" outline="0" showAll="0">
      <items count="47">
        <item x="32"/>
        <item x="43"/>
        <item x="4"/>
        <item x="29"/>
        <item x="18"/>
        <item x="45"/>
        <item x="24"/>
        <item x="3"/>
        <item x="20"/>
        <item x="19"/>
        <item x="23"/>
        <item x="8"/>
        <item x="38"/>
        <item x="21"/>
        <item x="44"/>
        <item x="10"/>
        <item x="2"/>
        <item x="39"/>
        <item x="14"/>
        <item x="40"/>
        <item x="36"/>
        <item x="17"/>
        <item x="34"/>
        <item x="5"/>
        <item x="7"/>
        <item x="11"/>
        <item x="12"/>
        <item x="1"/>
        <item x="41"/>
        <item x="33"/>
        <item x="16"/>
        <item x="15"/>
        <item x="31"/>
        <item x="0"/>
        <item x="30"/>
        <item x="9"/>
        <item x="37"/>
        <item x="42"/>
        <item x="6"/>
        <item x="35"/>
        <item x="22"/>
        <item x="26"/>
        <item x="27"/>
        <item x="28"/>
        <item x="25"/>
        <item x="13"/>
        <item t="default"/>
      </items>
    </pivotField>
    <pivotField axis="axisCol" dataField="1" compact="0" outline="0" showAll="0">
      <items count="7">
        <item x="0"/>
        <item x="1"/>
        <item x="5"/>
        <item x="2"/>
        <item x="3"/>
        <item x="4"/>
        <item t="default"/>
      </items>
    </pivotField>
    <pivotField compact="0" numFmtId="166" outline="0" showAll="0">
      <items count="49">
        <item x="7"/>
        <item x="9"/>
        <item x="38"/>
        <item x="19"/>
        <item x="2"/>
        <item x="45"/>
        <item x="39"/>
        <item x="15"/>
        <item x="22"/>
        <item x="23"/>
        <item x="0"/>
        <item x="32"/>
        <item x="26"/>
        <item x="27"/>
        <item x="11"/>
        <item x="20"/>
        <item x="43"/>
        <item x="47"/>
        <item x="44"/>
        <item x="3"/>
        <item x="30"/>
        <item x="33"/>
        <item x="37"/>
        <item x="5"/>
        <item x="46"/>
        <item x="12"/>
        <item x="17"/>
        <item x="42"/>
        <item x="36"/>
        <item x="4"/>
        <item x="6"/>
        <item x="34"/>
        <item x="8"/>
        <item x="25"/>
        <item x="1"/>
        <item x="28"/>
        <item x="40"/>
        <item x="35"/>
        <item x="10"/>
        <item x="13"/>
        <item x="14"/>
        <item x="31"/>
        <item x="21"/>
        <item x="24"/>
        <item x="18"/>
        <item x="41"/>
        <item x="16"/>
        <item x="2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0" outline="0" showAll="0"/>
    <pivotField compact="0" outline="0" showAll="0"/>
    <pivotField compact="0" outline="0" showAll="0"/>
    <pivotField axis="axisRow" compact="0" outline="0" showAll="0">
      <items count="7">
        <item x="3"/>
        <item x="2"/>
        <item x="4"/>
        <item x="0"/>
        <item x="1"/>
        <item x="5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rty" fld="2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F142B-555B-42F9-8185-D07AAB2E8256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E11" firstHeaderRow="1" firstDataRow="2" firstDataCol="1"/>
  <pivotFields count="15">
    <pivotField dataField="1" compact="0" outline="0" showAll="0"/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axis="axisRow" compact="0" outline="0" showAll="0">
      <items count="7">
        <item x="3"/>
        <item x="2"/>
        <item x="4"/>
        <item x="0"/>
        <item x="1"/>
        <item x="5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Constituency" fld="0" subtotal="count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833FF-8D18-4F7A-8F0D-951933E2926F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0" outline="0" showAll="0"/>
    <pivotField axis="axisRow" dataField="1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in_Type" fld="1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rty" xr10:uid="{F67AD0EC-9F74-4B28-BEA1-E6FDFD2D8A00}" sourceName="Party">
  <pivotTables>
    <pivotTable tabId="4" name="PivotTable1"/>
  </pivotTables>
  <data>
    <tabular pivotCacheId="1484399219">
      <items count="6">
        <i x="0" s="1"/>
        <i x="1" s="1"/>
        <i x="5"/>
        <i x="2" s="1"/>
        <i x="4" s="1"/>
        <i x="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37273FC5-9327-495A-AA56-6B8B06B6B685}" sourceName="Region">
  <pivotTables>
    <pivotTable tabId="4" name="PivotTable1"/>
  </pivotTables>
  <data>
    <tabular pivotCacheId="1484399219">
      <items count="6">
        <i x="3"/>
        <i x="2"/>
        <i x="4"/>
        <i x="0"/>
        <i x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stituency" xr10:uid="{E0B76A83-22EE-4FC4-AAAC-234BBFBF1514}" sourceName="Constituency">
  <pivotTables>
    <pivotTable tabId="5" name="PivotTable2"/>
  </pivotTables>
  <data>
    <tabular pivotCacheId="1484399219">
      <items count="48">
        <i x="36" s="1"/>
        <i x="5" s="1"/>
        <i x="6" s="1"/>
        <i x="18" s="1"/>
        <i x="34" s="1"/>
        <i x="38" s="1"/>
        <i x="10" s="1"/>
        <i x="22" s="1"/>
        <i x="4" s="1"/>
        <i x="12" s="1"/>
        <i x="1" s="1"/>
        <i x="19" s="1"/>
        <i x="11" s="1"/>
        <i x="47" s="1"/>
        <i x="14" s="1"/>
        <i x="2" s="1"/>
        <i x="17" s="1"/>
        <i x="23" s="1"/>
        <i x="46" s="1"/>
        <i x="40" s="1"/>
        <i x="42" s="1"/>
        <i x="32" s="1"/>
        <i x="25" s="1"/>
        <i x="28" s="1"/>
        <i x="27" s="1"/>
        <i x="26" s="1"/>
        <i x="30" s="1"/>
        <i x="29" s="1"/>
        <i x="9" s="1"/>
        <i x="15" s="1"/>
        <i x="0" s="1"/>
        <i x="20" s="1"/>
        <i x="39" s="1"/>
        <i x="21" s="1"/>
        <i x="16" s="1"/>
        <i x="33" s="1"/>
        <i x="31" s="1"/>
        <i x="8" s="1"/>
        <i x="45" s="1"/>
        <i x="3" s="1"/>
        <i x="43" s="1"/>
        <i x="44" s="1"/>
        <i x="37" s="1"/>
        <i x="35" s="1"/>
        <i x="41" s="1"/>
        <i x="24" s="1"/>
        <i x="7" s="1"/>
        <i x="1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ndidate" xr10:uid="{10D66AC3-B7A3-475A-88B4-EDC53D686195}" sourceName="Candidate">
  <pivotTables>
    <pivotTable tabId="5" name="PivotTable2"/>
  </pivotTables>
  <data>
    <tabular pivotCacheId="1484399219">
      <items count="46">
        <i x="32" s="1"/>
        <i x="43" s="1"/>
        <i x="4" s="1"/>
        <i x="29" s="1"/>
        <i x="18" s="1"/>
        <i x="45" s="1"/>
        <i x="24" s="1"/>
        <i x="3" s="1"/>
        <i x="20" s="1"/>
        <i x="19" s="1"/>
        <i x="23" s="1"/>
        <i x="8" s="1"/>
        <i x="38" s="1"/>
        <i x="21" s="1"/>
        <i x="44" s="1"/>
        <i x="10" s="1"/>
        <i x="2" s="1"/>
        <i x="39" s="1"/>
        <i x="14" s="1"/>
        <i x="40" s="1"/>
        <i x="36" s="1"/>
        <i x="17" s="1"/>
        <i x="34" s="1"/>
        <i x="5" s="1"/>
        <i x="7" s="1"/>
        <i x="11" s="1"/>
        <i x="12" s="1"/>
        <i x="1" s="1"/>
        <i x="41" s="1"/>
        <i x="33" s="1"/>
        <i x="16" s="1"/>
        <i x="15" s="1"/>
        <i x="31" s="1"/>
        <i x="0" s="1"/>
        <i x="30" s="1"/>
        <i x="9" s="1"/>
        <i x="37" s="1"/>
        <i x="42" s="1"/>
        <i x="6" s="1"/>
        <i x="35" s="1"/>
        <i x="22" s="1"/>
        <i x="26" s="1"/>
        <i x="27" s="1"/>
        <i x="28" s="1"/>
        <i x="25" s="1"/>
        <i x="1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rty1" xr10:uid="{066054B0-646D-496F-9A50-A8654AC992F4}" sourceName="Party">
  <pivotTables>
    <pivotTable tabId="5" name="PivotTable2"/>
  </pivotTables>
  <data>
    <tabular pivotCacheId="1484399219">
      <items count="6">
        <i x="0" s="1"/>
        <i x="1" s="1"/>
        <i x="5" s="1"/>
        <i x="2" s="1"/>
        <i x="3" s="1"/>
        <i x="4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Votes" xr10:uid="{92E72EFD-FED9-4B37-B7AD-44CE0F28C338}" sourceName="Votes">
  <pivotTables>
    <pivotTable tabId="5" name="PivotTable2"/>
  </pivotTables>
  <data>
    <tabular pivotCacheId="1484399219">
      <items count="48">
        <i x="7" s="1"/>
        <i x="9" s="1"/>
        <i x="38" s="1"/>
        <i x="19" s="1"/>
        <i x="2" s="1"/>
        <i x="45" s="1"/>
        <i x="39" s="1"/>
        <i x="15" s="1"/>
        <i x="22" s="1"/>
        <i x="23" s="1"/>
        <i x="0" s="1"/>
        <i x="32" s="1"/>
        <i x="26" s="1"/>
        <i x="27" s="1"/>
        <i x="11" s="1"/>
        <i x="20" s="1"/>
        <i x="43" s="1"/>
        <i x="47" s="1"/>
        <i x="44" s="1"/>
        <i x="3" s="1"/>
        <i x="30" s="1"/>
        <i x="33" s="1"/>
        <i x="37" s="1"/>
        <i x="5" s="1"/>
        <i x="46" s="1"/>
        <i x="12" s="1"/>
        <i x="17" s="1"/>
        <i x="42" s="1"/>
        <i x="36" s="1"/>
        <i x="4" s="1"/>
        <i x="6" s="1"/>
        <i x="34" s="1"/>
        <i x="8" s="1"/>
        <i x="25" s="1"/>
        <i x="1" s="1"/>
        <i x="28" s="1"/>
        <i x="40" s="1"/>
        <i x="35" s="1"/>
        <i x="10" s="1"/>
        <i x="13" s="1"/>
        <i x="14" s="1"/>
        <i x="31" s="1"/>
        <i x="21" s="1"/>
        <i x="24" s="1"/>
        <i x="18" s="1"/>
        <i x="41" s="1"/>
        <i x="16" s="1"/>
        <i x="29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07F1A146-D3E3-441B-A95A-D678386F59BA}" sourceName="Region">
  <pivotTables>
    <pivotTable tabId="5" name="PivotTable2"/>
  </pivotTables>
  <data>
    <tabular pivotCacheId="1484399219">
      <items count="6">
        <i x="3" s="1"/>
        <i x="2" s="1"/>
        <i x="4" s="1"/>
        <i x="0" s="1"/>
        <i x="1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rty" xr10:uid="{243C0324-7033-41A1-9F06-00C07535D5B3}" cache="Slicer_Party" caption="Party" rowHeight="228600"/>
  <slicer name="Region" xr10:uid="{97E09CB0-6FEA-4373-8BAE-630B798D0C17}" cache="Slicer_Region" caption="Region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stituency" xr10:uid="{7F29D7EB-DE86-4D16-BF30-37BA75E7CA09}" cache="Slicer_Constituency" caption="Constituency" rowHeight="228600"/>
  <slicer name="Candidate" xr10:uid="{ED171E29-AD4F-4D71-83B9-5839EA339E58}" cache="Slicer_Candidate" caption="Candidate" rowHeight="228600"/>
  <slicer name="Party 1" xr10:uid="{0F5A255D-6A08-40AB-9903-A08CB9328676}" cache="Slicer_Party1" caption="Party" rowHeight="228600"/>
  <slicer name="Votes" xr10:uid="{6B8E61B4-3204-4F0A-9F04-3D92743D4A7A}" cache="Slicer_Votes" caption="Votes" rowHeight="228600"/>
  <slicer name="Region 1" xr10:uid="{F6BA86E6-65D6-4D94-8A3E-5A85CCD29853}" cache="Slicer_Region1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7A151-E983-47EA-9E10-C0E4F2F5A69F}" name="Table1" displayName="Table1" ref="A1:O49" totalsRowShown="0" headerRowDxfId="5">
  <autoFilter ref="A1:O49" xr:uid="{A807A151-E983-47EA-9E10-C0E4F2F5A69F}"/>
  <tableColumns count="15">
    <tableColumn id="1" xr3:uid="{33CB305B-D6ED-43E6-9094-6EA19529FCB2}" name="Constituency"/>
    <tableColumn id="2" xr3:uid="{639FC0F7-B986-4A89-99E3-A6231A8BF4B5}" name="Candidate"/>
    <tableColumn id="3" xr3:uid="{D8C5AA5A-13F3-4362-BD0A-4752F5008698}" name="Party"/>
    <tableColumn id="4" xr3:uid="{2F961FFB-CE5E-4466-83B9-7AFF1722DA58}" name="Votes" dataDxfId="4"/>
    <tableColumn id="5" xr3:uid="{8E383A85-3C5E-4F3E-AF12-F2A71C1353CA}" name="Runner_Up"/>
    <tableColumn id="6" xr3:uid="{79EFD556-ACC4-495B-8651-779D79AF7FFA}" name="Runner_Party"/>
    <tableColumn id="7" xr3:uid="{C646AA05-CA5F-4FFD-A6A3-07173D214C37}" name="Runner_Votes"/>
    <tableColumn id="8" xr3:uid="{16ECF0D1-6837-483D-A2B2-FC47889BD255}" name="Age"/>
    <tableColumn id="9" xr3:uid="{6F33CBC4-58D3-48DB-AA91-7D358E536D35}" name="Education"/>
    <tableColumn id="10" xr3:uid="{59B2350E-83BE-4252-ADA7-E939CD330B43}" name="Assets_Cr" dataDxfId="3"/>
    <tableColumn id="11" xr3:uid="{D730D2D5-B061-484F-83D7-0E32721F64F5}" name="Margin">
      <calculatedColumnFormula>D2-G2</calculatedColumnFormula>
    </tableColumn>
    <tableColumn id="12" xr3:uid="{C5D4CBC1-F3E7-4D5C-BB43-B3AB67966A84}" name="Margin%" dataDxfId="2">
      <calculatedColumnFormula>K2/D2</calculatedColumnFormula>
    </tableColumn>
    <tableColumn id="13" xr3:uid="{92931184-C944-4EDE-AE2A-8563965D7C59}" name="Win_Type" dataDxfId="1">
      <calculatedColumnFormula>IF(L2&gt;0.2,"Landslide",IF(L2&gt;0.1,"Comfortable","Nail-Biter"))</calculatedColumnFormula>
    </tableColumn>
    <tableColumn id="14" xr3:uid="{90D4953F-0788-4FEA-AD29-A7A91780F5F7}" name="Asset_Category" dataDxfId="0">
      <calculatedColumnFormula>IF(J2&gt;30,"Ultra Rich",IF(J2&gt;15,"Rich",IF(J2&gt;5,"Average","Low")))</calculatedColumnFormula>
    </tableColumn>
    <tableColumn id="15" xr3:uid="{E98FE647-CB98-4B41-B945-ED25B9F72257}" name="Region">
      <calculatedColumnFormula>_xlfn.XLOOKUP(A2, region!A:A, region!B:B)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B1D4-74CA-4757-8459-0BD9DC3B549D}">
  <dimension ref="A3:B8"/>
  <sheetViews>
    <sheetView workbookViewId="0">
      <selection activeCell="G25" sqref="G25"/>
    </sheetView>
  </sheetViews>
  <sheetFormatPr defaultRowHeight="15"/>
  <cols>
    <col min="1" max="1" width="11.42578125" bestFit="1" customWidth="1"/>
    <col min="2" max="2" width="13.7109375" bestFit="1" customWidth="1"/>
  </cols>
  <sheetData>
    <row r="3" spans="1:2">
      <c r="A3" s="9" t="s">
        <v>0</v>
      </c>
      <c r="B3" t="s">
        <v>1</v>
      </c>
    </row>
    <row r="4" spans="1:2">
      <c r="A4" t="s">
        <v>2</v>
      </c>
      <c r="B4" s="10">
        <v>4</v>
      </c>
    </row>
    <row r="5" spans="1:2">
      <c r="A5" t="s">
        <v>3</v>
      </c>
      <c r="B5" s="10">
        <v>2</v>
      </c>
    </row>
    <row r="6" spans="1:2">
      <c r="A6" t="s">
        <v>4</v>
      </c>
      <c r="B6" s="10">
        <v>1</v>
      </c>
    </row>
    <row r="7" spans="1:2">
      <c r="A7" t="s">
        <v>5</v>
      </c>
      <c r="B7" s="10">
        <v>3</v>
      </c>
    </row>
    <row r="8" spans="1:2">
      <c r="A8" t="s">
        <v>6</v>
      </c>
      <c r="B8" s="10">
        <v>10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25C1-EBA3-4F5E-9EBB-EF58523CCFC0}">
  <dimension ref="A3:H11"/>
  <sheetViews>
    <sheetView tabSelected="1" workbookViewId="0">
      <selection activeCell="E3" sqref="E3"/>
    </sheetView>
  </sheetViews>
  <sheetFormatPr defaultRowHeight="15"/>
  <cols>
    <col min="1" max="1" width="20" bestFit="1" customWidth="1"/>
    <col min="2" max="2" width="8.7109375" bestFit="1" customWidth="1"/>
    <col min="3" max="3" width="4" bestFit="1" customWidth="1"/>
    <col min="4" max="4" width="4.5703125" bestFit="1" customWidth="1"/>
    <col min="5" max="5" width="8" bestFit="1" customWidth="1"/>
    <col min="6" max="6" width="4.28515625" bestFit="1" customWidth="1"/>
    <col min="7" max="7" width="9.28515625" bestFit="1" customWidth="1"/>
    <col min="8" max="8" width="11.42578125" bestFit="1" customWidth="1"/>
  </cols>
  <sheetData>
    <row r="3" spans="1:8">
      <c r="A3" s="9" t="s">
        <v>1</v>
      </c>
      <c r="B3" s="9" t="s">
        <v>0</v>
      </c>
    </row>
    <row r="4" spans="1:8">
      <c r="A4" s="9" t="s">
        <v>7</v>
      </c>
      <c r="B4" t="s">
        <v>2</v>
      </c>
      <c r="C4" t="s">
        <v>3</v>
      </c>
      <c r="D4" t="s">
        <v>8</v>
      </c>
      <c r="E4" t="s">
        <v>4</v>
      </c>
      <c r="F4" t="s">
        <v>9</v>
      </c>
      <c r="G4" t="s">
        <v>5</v>
      </c>
      <c r="H4" t="s">
        <v>6</v>
      </c>
    </row>
    <row r="5" spans="1:8">
      <c r="A5" t="s">
        <v>10</v>
      </c>
      <c r="B5" s="10">
        <v>2</v>
      </c>
      <c r="C5" s="10">
        <v>1</v>
      </c>
      <c r="D5" s="10"/>
      <c r="E5" s="10"/>
      <c r="F5" s="10">
        <v>2</v>
      </c>
      <c r="G5" s="10">
        <v>1</v>
      </c>
      <c r="H5" s="10">
        <v>6</v>
      </c>
    </row>
    <row r="6" spans="1:8">
      <c r="A6" t="s">
        <v>11</v>
      </c>
      <c r="B6" s="10">
        <v>1</v>
      </c>
      <c r="C6" s="10">
        <v>2</v>
      </c>
      <c r="D6" s="10">
        <v>3</v>
      </c>
      <c r="E6" s="10">
        <v>1</v>
      </c>
      <c r="F6" s="10"/>
      <c r="G6" s="10">
        <v>1</v>
      </c>
      <c r="H6" s="10">
        <v>8</v>
      </c>
    </row>
    <row r="7" spans="1:8">
      <c r="A7" t="s">
        <v>12</v>
      </c>
      <c r="B7" s="10">
        <v>2</v>
      </c>
      <c r="C7" s="10">
        <v>1</v>
      </c>
      <c r="D7" s="10">
        <v>1</v>
      </c>
      <c r="E7" s="10">
        <v>2</v>
      </c>
      <c r="F7" s="10"/>
      <c r="G7" s="10"/>
      <c r="H7" s="10">
        <v>6</v>
      </c>
    </row>
    <row r="8" spans="1:8">
      <c r="A8" t="s">
        <v>13</v>
      </c>
      <c r="B8" s="10">
        <v>4</v>
      </c>
      <c r="C8" s="10">
        <v>1</v>
      </c>
      <c r="D8" s="10">
        <v>1</v>
      </c>
      <c r="E8" s="10"/>
      <c r="F8" s="10"/>
      <c r="G8" s="10"/>
      <c r="H8" s="10">
        <v>6</v>
      </c>
    </row>
    <row r="9" spans="1:8">
      <c r="A9" t="s">
        <v>14</v>
      </c>
      <c r="B9" s="10">
        <v>1</v>
      </c>
      <c r="C9" s="10">
        <v>3</v>
      </c>
      <c r="D9" s="10">
        <v>1</v>
      </c>
      <c r="E9" s="10">
        <v>2</v>
      </c>
      <c r="F9" s="10">
        <v>1</v>
      </c>
      <c r="G9" s="10">
        <v>2</v>
      </c>
      <c r="H9" s="10">
        <v>10</v>
      </c>
    </row>
    <row r="10" spans="1:8">
      <c r="A10" t="s">
        <v>15</v>
      </c>
      <c r="B10" s="10">
        <v>4</v>
      </c>
      <c r="C10" s="10">
        <v>2</v>
      </c>
      <c r="D10" s="10">
        <v>2</v>
      </c>
      <c r="E10" s="10">
        <v>1</v>
      </c>
      <c r="F10" s="10"/>
      <c r="G10" s="10">
        <v>3</v>
      </c>
      <c r="H10" s="10">
        <v>12</v>
      </c>
    </row>
    <row r="11" spans="1:8">
      <c r="A11" t="s">
        <v>6</v>
      </c>
      <c r="B11" s="10">
        <v>14</v>
      </c>
      <c r="C11" s="10">
        <v>10</v>
      </c>
      <c r="D11" s="10">
        <v>8</v>
      </c>
      <c r="E11" s="10">
        <v>6</v>
      </c>
      <c r="F11" s="10">
        <v>3</v>
      </c>
      <c r="G11" s="10">
        <v>7</v>
      </c>
      <c r="H11" s="10">
        <v>48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626B-BC5C-449C-8E36-402EE30D8A5F}">
  <dimension ref="A3:E11"/>
  <sheetViews>
    <sheetView workbookViewId="0">
      <selection activeCell="B3" sqref="B3:E11"/>
    </sheetView>
  </sheetViews>
  <sheetFormatPr defaultRowHeight="15"/>
  <cols>
    <col min="1" max="1" width="20.5703125" bestFit="1" customWidth="1"/>
    <col min="2" max="2" width="13" bestFit="1" customWidth="1"/>
    <col min="3" max="4" width="9.28515625" bestFit="1" customWidth="1"/>
    <col min="5" max="5" width="11.42578125" bestFit="1" customWidth="1"/>
  </cols>
  <sheetData>
    <row r="3" spans="1:5">
      <c r="A3" s="9" t="s">
        <v>16</v>
      </c>
      <c r="B3" s="9" t="s">
        <v>17</v>
      </c>
    </row>
    <row r="4" spans="1:5">
      <c r="A4" s="9" t="s">
        <v>7</v>
      </c>
      <c r="B4" t="s">
        <v>18</v>
      </c>
      <c r="C4" t="s">
        <v>19</v>
      </c>
      <c r="D4" t="s">
        <v>20</v>
      </c>
      <c r="E4" t="s">
        <v>6</v>
      </c>
    </row>
    <row r="5" spans="1:5">
      <c r="A5" t="s">
        <v>10</v>
      </c>
      <c r="B5" s="10">
        <v>1</v>
      </c>
      <c r="C5" s="10">
        <v>5</v>
      </c>
      <c r="D5" s="10"/>
      <c r="E5" s="10">
        <v>6</v>
      </c>
    </row>
    <row r="6" spans="1:5">
      <c r="A6" t="s">
        <v>11</v>
      </c>
      <c r="B6" s="10">
        <v>2</v>
      </c>
      <c r="C6" s="10">
        <v>5</v>
      </c>
      <c r="D6" s="10">
        <v>1</v>
      </c>
      <c r="E6" s="10">
        <v>8</v>
      </c>
    </row>
    <row r="7" spans="1:5">
      <c r="A7" t="s">
        <v>12</v>
      </c>
      <c r="B7" s="10">
        <v>2</v>
      </c>
      <c r="C7" s="10">
        <v>4</v>
      </c>
      <c r="D7" s="10"/>
      <c r="E7" s="10">
        <v>6</v>
      </c>
    </row>
    <row r="8" spans="1:5">
      <c r="A8" t="s">
        <v>13</v>
      </c>
      <c r="B8" s="10"/>
      <c r="C8" s="10">
        <v>6</v>
      </c>
      <c r="D8" s="10"/>
      <c r="E8" s="10">
        <v>6</v>
      </c>
    </row>
    <row r="9" spans="1:5">
      <c r="A9" t="s">
        <v>14</v>
      </c>
      <c r="B9" s="10">
        <v>1</v>
      </c>
      <c r="C9" s="10">
        <v>7</v>
      </c>
      <c r="D9" s="10">
        <v>2</v>
      </c>
      <c r="E9" s="10">
        <v>10</v>
      </c>
    </row>
    <row r="10" spans="1:5">
      <c r="A10" t="s">
        <v>15</v>
      </c>
      <c r="B10" s="10">
        <v>3</v>
      </c>
      <c r="C10" s="10">
        <v>8</v>
      </c>
      <c r="D10" s="10">
        <v>1</v>
      </c>
      <c r="E10" s="10">
        <v>12</v>
      </c>
    </row>
    <row r="11" spans="1:5">
      <c r="A11" t="s">
        <v>6</v>
      </c>
      <c r="B11" s="10">
        <v>9</v>
      </c>
      <c r="C11" s="10">
        <v>35</v>
      </c>
      <c r="D11" s="10">
        <v>4</v>
      </c>
      <c r="E11" s="10">
        <v>48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2BB5-0893-42E7-ABDE-8FC61A5F41F9}">
  <dimension ref="A3:B7"/>
  <sheetViews>
    <sheetView workbookViewId="0">
      <selection activeCell="Q12" sqref="Q12"/>
    </sheetView>
  </sheetViews>
  <sheetFormatPr defaultRowHeight="15"/>
  <cols>
    <col min="1" max="1" width="13" bestFit="1" customWidth="1"/>
    <col min="2" max="2" width="18" bestFit="1" customWidth="1"/>
  </cols>
  <sheetData>
    <row r="3" spans="1:2">
      <c r="A3" s="9" t="s">
        <v>17</v>
      </c>
      <c r="B3" t="s">
        <v>21</v>
      </c>
    </row>
    <row r="4" spans="1:2">
      <c r="A4" t="s">
        <v>18</v>
      </c>
      <c r="B4" s="10">
        <v>9</v>
      </c>
    </row>
    <row r="5" spans="1:2">
      <c r="A5" t="s">
        <v>19</v>
      </c>
      <c r="B5" s="10">
        <v>35</v>
      </c>
    </row>
    <row r="6" spans="1:2">
      <c r="A6" t="s">
        <v>20</v>
      </c>
      <c r="B6" s="10">
        <v>4</v>
      </c>
    </row>
    <row r="7" spans="1:2">
      <c r="A7" t="s">
        <v>6</v>
      </c>
      <c r="B7" s="10">
        <v>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9327-CD2A-4422-8F75-B4EE68B3E21D}">
  <dimension ref="A1:O49"/>
  <sheetViews>
    <sheetView workbookViewId="0">
      <selection activeCell="F29" sqref="F29"/>
    </sheetView>
  </sheetViews>
  <sheetFormatPr defaultRowHeight="15"/>
  <cols>
    <col min="1" max="1" width="20.5703125" bestFit="1" customWidth="1"/>
    <col min="2" max="2" width="20.7109375" bestFit="1" customWidth="1"/>
    <col min="4" max="4" width="10.140625" style="8" bestFit="1" customWidth="1"/>
    <col min="5" max="5" width="20" bestFit="1" customWidth="1"/>
    <col min="6" max="6" width="15.42578125" bestFit="1" customWidth="1"/>
    <col min="7" max="7" width="15.85546875" bestFit="1" customWidth="1"/>
    <col min="9" max="9" width="13.28515625" bestFit="1" customWidth="1"/>
    <col min="10" max="10" width="31.7109375" customWidth="1"/>
    <col min="11" max="11" width="9.5703125" bestFit="1" customWidth="1"/>
    <col min="12" max="12" width="11.140625" bestFit="1" customWidth="1"/>
    <col min="13" max="13" width="12.28515625" customWidth="1"/>
    <col min="14" max="14" width="17" bestFit="1" customWidth="1"/>
    <col min="15" max="15" width="35.5703125" bestFit="1" customWidth="1"/>
  </cols>
  <sheetData>
    <row r="1" spans="1:15">
      <c r="A1" s="1" t="s">
        <v>22</v>
      </c>
      <c r="B1" s="1" t="s">
        <v>23</v>
      </c>
      <c r="C1" s="1" t="s">
        <v>0</v>
      </c>
      <c r="D1" s="7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6" t="s">
        <v>30</v>
      </c>
      <c r="K1" s="1" t="s">
        <v>31</v>
      </c>
      <c r="L1" s="1" t="s">
        <v>32</v>
      </c>
      <c r="M1" s="4" t="s">
        <v>17</v>
      </c>
      <c r="N1" s="4" t="s">
        <v>33</v>
      </c>
      <c r="O1" s="1" t="s">
        <v>7</v>
      </c>
    </row>
    <row r="2" spans="1:15">
      <c r="A2" t="s">
        <v>34</v>
      </c>
      <c r="B2" t="s">
        <v>35</v>
      </c>
      <c r="C2" t="s">
        <v>2</v>
      </c>
      <c r="D2" s="8">
        <v>438773</v>
      </c>
      <c r="E2" t="s">
        <v>36</v>
      </c>
      <c r="F2" t="s">
        <v>37</v>
      </c>
      <c r="G2">
        <v>284827</v>
      </c>
      <c r="H2">
        <v>63</v>
      </c>
      <c r="I2" t="s">
        <v>38</v>
      </c>
      <c r="J2" s="2">
        <v>41.6</v>
      </c>
      <c r="K2">
        <f>D2-G2</f>
        <v>153946</v>
      </c>
      <c r="L2" s="3">
        <f>K2/D2</f>
        <v>0.350855681639481</v>
      </c>
      <c r="M2" s="5" t="str">
        <f>IF(L2&gt;0.2,"Landslide",IF(L2&gt;0.1,"Comfortable","Nail-Biter"))</f>
        <v>Landslide</v>
      </c>
      <c r="N2" s="5" t="str">
        <f>IF(J2&gt;30,"Ultra Rich",IF(J2&gt;15,"Rich",IF(J2&gt;5,"Average","Low")))</f>
        <v>Ultra Rich</v>
      </c>
      <c r="O2" t="str">
        <f>_xlfn.XLOOKUP(A2, region!A:A, region!B:B)</f>
        <v>North Maharashtra</v>
      </c>
    </row>
    <row r="3" spans="1:15">
      <c r="A3" t="s">
        <v>39</v>
      </c>
      <c r="B3" t="s">
        <v>40</v>
      </c>
      <c r="C3" t="s">
        <v>2</v>
      </c>
      <c r="D3" s="8">
        <v>724428</v>
      </c>
      <c r="E3" t="s">
        <v>41</v>
      </c>
      <c r="F3" t="s">
        <v>37</v>
      </c>
      <c r="G3">
        <v>438459</v>
      </c>
      <c r="H3">
        <v>50</v>
      </c>
      <c r="I3" t="s">
        <v>42</v>
      </c>
      <c r="J3" s="2">
        <v>2.9</v>
      </c>
      <c r="K3">
        <f t="shared" ref="K3:K49" si="0">D3-G3</f>
        <v>285969</v>
      </c>
      <c r="L3" s="3">
        <f t="shared" ref="L3:L49" si="1">K3/D3</f>
        <v>0.39475144527820571</v>
      </c>
      <c r="M3" s="5" t="str">
        <f t="shared" ref="M3:M49" si="2">IF(L3&gt;0.2,"Landslide",IF(L3&gt;0.1,"Comfortable","Nail-Biter"))</f>
        <v>Landslide</v>
      </c>
      <c r="N3" s="5" t="str">
        <f t="shared" ref="N3:N49" si="3">IF(J3&gt;30,"Ultra Rich",IF(J3&gt;15,"Rich",IF(J3&gt;5,"Average","Low")))</f>
        <v>Low</v>
      </c>
      <c r="O3" t="str">
        <f>_xlfn.XLOOKUP(A3, region!A:A, region!B:B)</f>
        <v>North Maharashtra</v>
      </c>
    </row>
    <row r="4" spans="1:15">
      <c r="A4" t="s">
        <v>43</v>
      </c>
      <c r="B4" t="s">
        <v>44</v>
      </c>
      <c r="C4" t="s">
        <v>2</v>
      </c>
      <c r="D4" s="8">
        <v>375131</v>
      </c>
      <c r="E4" t="s">
        <v>45</v>
      </c>
      <c r="F4" t="s">
        <v>37</v>
      </c>
      <c r="G4">
        <v>177592</v>
      </c>
      <c r="H4">
        <v>64</v>
      </c>
      <c r="I4" t="s">
        <v>42</v>
      </c>
      <c r="J4" s="2">
        <v>34.6</v>
      </c>
      <c r="K4">
        <f t="shared" si="0"/>
        <v>197539</v>
      </c>
      <c r="L4" s="3">
        <f t="shared" si="1"/>
        <v>0.52658671237514365</v>
      </c>
      <c r="M4" s="5" t="str">
        <f t="shared" si="2"/>
        <v>Landslide</v>
      </c>
      <c r="N4" s="5" t="str">
        <f t="shared" si="3"/>
        <v>Ultra Rich</v>
      </c>
      <c r="O4" t="str">
        <f>_xlfn.XLOOKUP(A4, region!A:A, region!B:B)</f>
        <v>North Maharashtra</v>
      </c>
    </row>
    <row r="5" spans="1:15">
      <c r="A5" t="s">
        <v>46</v>
      </c>
      <c r="B5" t="s">
        <v>47</v>
      </c>
      <c r="C5" t="s">
        <v>2</v>
      </c>
      <c r="D5" s="8">
        <v>533966</v>
      </c>
      <c r="E5" t="s">
        <v>48</v>
      </c>
      <c r="F5" t="s">
        <v>9</v>
      </c>
      <c r="G5">
        <v>332288</v>
      </c>
      <c r="H5">
        <v>71</v>
      </c>
      <c r="I5" t="s">
        <v>49</v>
      </c>
      <c r="J5" s="2">
        <v>18.2</v>
      </c>
      <c r="K5">
        <f t="shared" si="0"/>
        <v>201678</v>
      </c>
      <c r="L5" s="3">
        <f t="shared" si="1"/>
        <v>0.37769820550372118</v>
      </c>
      <c r="M5" s="5" t="str">
        <f t="shared" si="2"/>
        <v>Landslide</v>
      </c>
      <c r="N5" s="5" t="str">
        <f t="shared" si="3"/>
        <v>Rich</v>
      </c>
      <c r="O5" t="str">
        <f>_xlfn.XLOOKUP(A5, region!A:A, region!B:B)</f>
        <v>North Maharashtra</v>
      </c>
    </row>
    <row r="6" spans="1:15">
      <c r="A6" t="s">
        <v>50</v>
      </c>
      <c r="B6" t="s">
        <v>51</v>
      </c>
      <c r="C6" t="s">
        <v>3</v>
      </c>
      <c r="D6" s="8">
        <v>640089</v>
      </c>
      <c r="E6" t="s">
        <v>52</v>
      </c>
      <c r="F6" t="s">
        <v>9</v>
      </c>
      <c r="G6">
        <v>329104</v>
      </c>
      <c r="H6">
        <v>36</v>
      </c>
      <c r="I6" t="s">
        <v>38</v>
      </c>
      <c r="J6" s="2">
        <v>29</v>
      </c>
      <c r="K6">
        <f t="shared" si="0"/>
        <v>310985</v>
      </c>
      <c r="L6" s="3">
        <f t="shared" si="1"/>
        <v>0.48584649947116731</v>
      </c>
      <c r="M6" s="5" t="str">
        <f t="shared" si="2"/>
        <v>Landslide</v>
      </c>
      <c r="N6" s="5" t="str">
        <f t="shared" si="3"/>
        <v>Rich</v>
      </c>
      <c r="O6" t="str">
        <f>_xlfn.XLOOKUP(A6, region!A:A, region!B:B)</f>
        <v>Vidarbha</v>
      </c>
    </row>
    <row r="7" spans="1:15">
      <c r="A7" t="s">
        <v>53</v>
      </c>
      <c r="B7" t="s">
        <v>54</v>
      </c>
      <c r="C7" t="s">
        <v>4</v>
      </c>
      <c r="D7" s="8">
        <v>578731</v>
      </c>
      <c r="E7" t="s">
        <v>55</v>
      </c>
      <c r="F7" t="s">
        <v>9</v>
      </c>
      <c r="G7">
        <v>286346</v>
      </c>
      <c r="H7">
        <v>72</v>
      </c>
      <c r="I7" t="s">
        <v>38</v>
      </c>
      <c r="J7" s="2">
        <v>15.5</v>
      </c>
      <c r="K7">
        <f t="shared" si="0"/>
        <v>292385</v>
      </c>
      <c r="L7" s="3">
        <f t="shared" si="1"/>
        <v>0.50521744990332296</v>
      </c>
      <c r="M7" s="5" t="str">
        <f t="shared" si="2"/>
        <v>Landslide</v>
      </c>
      <c r="N7" s="5" t="str">
        <f t="shared" si="3"/>
        <v>Rich</v>
      </c>
      <c r="O7" t="str">
        <f>_xlfn.XLOOKUP(A7, region!A:A, region!B:B)</f>
        <v>Vidarbha</v>
      </c>
    </row>
    <row r="8" spans="1:15">
      <c r="A8" t="s">
        <v>56</v>
      </c>
      <c r="B8" t="s">
        <v>57</v>
      </c>
      <c r="C8" t="s">
        <v>9</v>
      </c>
      <c r="D8" s="8">
        <v>655868</v>
      </c>
      <c r="E8" t="s">
        <v>58</v>
      </c>
      <c r="F8" t="s">
        <v>3</v>
      </c>
      <c r="G8">
        <v>349919</v>
      </c>
      <c r="H8">
        <v>72</v>
      </c>
      <c r="I8" t="s">
        <v>49</v>
      </c>
      <c r="J8" s="2">
        <v>28.8</v>
      </c>
      <c r="K8">
        <f t="shared" si="0"/>
        <v>305949</v>
      </c>
      <c r="L8" s="3">
        <f t="shared" si="1"/>
        <v>0.4664795355162929</v>
      </c>
      <c r="M8" s="5" t="str">
        <f t="shared" si="2"/>
        <v>Landslide</v>
      </c>
      <c r="N8" s="5" t="str">
        <f t="shared" si="3"/>
        <v>Rich</v>
      </c>
      <c r="O8" t="str">
        <f>_xlfn.XLOOKUP(A8, region!A:A, region!B:B)</f>
        <v>Vidarbha</v>
      </c>
    </row>
    <row r="9" spans="1:15">
      <c r="A9" t="s">
        <v>59</v>
      </c>
      <c r="B9" t="s">
        <v>60</v>
      </c>
      <c r="C9" t="s">
        <v>4</v>
      </c>
      <c r="D9" s="8">
        <v>355055</v>
      </c>
      <c r="E9" t="s">
        <v>61</v>
      </c>
      <c r="F9" t="s">
        <v>2</v>
      </c>
      <c r="G9">
        <v>150065</v>
      </c>
      <c r="H9">
        <v>55</v>
      </c>
      <c r="I9" t="s">
        <v>62</v>
      </c>
      <c r="J9" s="2">
        <v>15.9</v>
      </c>
      <c r="K9">
        <f t="shared" si="0"/>
        <v>204990</v>
      </c>
      <c r="L9" s="3">
        <f t="shared" si="1"/>
        <v>0.57734717156496884</v>
      </c>
      <c r="M9" s="5" t="str">
        <f t="shared" si="2"/>
        <v>Landslide</v>
      </c>
      <c r="N9" s="5" t="str">
        <f t="shared" si="3"/>
        <v>Rich</v>
      </c>
      <c r="O9" t="str">
        <f>_xlfn.XLOOKUP(A9, region!A:A, region!B:B)</f>
        <v>Vidarbha</v>
      </c>
    </row>
    <row r="10" spans="1:15">
      <c r="A10" t="s">
        <v>63</v>
      </c>
      <c r="B10" t="s">
        <v>64</v>
      </c>
      <c r="C10" t="s">
        <v>5</v>
      </c>
      <c r="D10" s="8">
        <v>686833</v>
      </c>
      <c r="E10" t="s">
        <v>65</v>
      </c>
      <c r="F10" t="s">
        <v>2</v>
      </c>
      <c r="G10">
        <v>647801</v>
      </c>
      <c r="H10">
        <v>48</v>
      </c>
      <c r="I10" t="s">
        <v>49</v>
      </c>
      <c r="J10" s="2">
        <v>8.5</v>
      </c>
      <c r="K10">
        <f t="shared" si="0"/>
        <v>39032</v>
      </c>
      <c r="L10" s="3">
        <f t="shared" si="1"/>
        <v>5.6828952598375441E-2</v>
      </c>
      <c r="M10" s="5" t="str">
        <f t="shared" si="2"/>
        <v>Nail-Biter</v>
      </c>
      <c r="N10" s="5" t="str">
        <f t="shared" si="3"/>
        <v>Average</v>
      </c>
      <c r="O10" t="str">
        <f>_xlfn.XLOOKUP(A10, region!A:A, region!B:B)</f>
        <v>Vidarbha</v>
      </c>
    </row>
    <row r="11" spans="1:15">
      <c r="A11" t="s">
        <v>66</v>
      </c>
      <c r="B11" t="s">
        <v>67</v>
      </c>
      <c r="C11" t="s">
        <v>8</v>
      </c>
      <c r="D11" s="8">
        <v>362521</v>
      </c>
      <c r="E11" t="s">
        <v>52</v>
      </c>
      <c r="F11" t="s">
        <v>9</v>
      </c>
      <c r="G11">
        <v>156743</v>
      </c>
      <c r="H11">
        <v>60</v>
      </c>
      <c r="I11" t="s">
        <v>68</v>
      </c>
      <c r="J11" s="2">
        <v>7.1</v>
      </c>
      <c r="K11">
        <f t="shared" si="0"/>
        <v>205778</v>
      </c>
      <c r="L11" s="3">
        <f t="shared" si="1"/>
        <v>0.56763056485003627</v>
      </c>
      <c r="M11" s="5" t="str">
        <f t="shared" si="2"/>
        <v>Landslide</v>
      </c>
      <c r="N11" s="5" t="str">
        <f t="shared" si="3"/>
        <v>Average</v>
      </c>
      <c r="O11" t="str">
        <f>_xlfn.XLOOKUP(A11, region!A:A, region!B:B)</f>
        <v>Vidarbha</v>
      </c>
    </row>
    <row r="12" spans="1:15">
      <c r="A12" t="s">
        <v>69</v>
      </c>
      <c r="B12" t="s">
        <v>70</v>
      </c>
      <c r="C12" t="s">
        <v>3</v>
      </c>
      <c r="D12" s="8">
        <v>740675</v>
      </c>
      <c r="E12" t="s">
        <v>71</v>
      </c>
      <c r="F12" t="s">
        <v>8</v>
      </c>
      <c r="G12">
        <v>680945</v>
      </c>
      <c r="H12">
        <v>47</v>
      </c>
      <c r="I12" t="s">
        <v>68</v>
      </c>
      <c r="J12" s="2">
        <v>35.9</v>
      </c>
      <c r="K12">
        <f t="shared" si="0"/>
        <v>59730</v>
      </c>
      <c r="L12" s="3">
        <f t="shared" si="1"/>
        <v>8.0642657035811929E-2</v>
      </c>
      <c r="M12" s="5" t="str">
        <f t="shared" si="2"/>
        <v>Nail-Biter</v>
      </c>
      <c r="N12" s="5" t="str">
        <f t="shared" si="3"/>
        <v>Ultra Rich</v>
      </c>
      <c r="O12" t="str">
        <f>_xlfn.XLOOKUP(A12, region!A:A, region!B:B)</f>
        <v>Vidarbha</v>
      </c>
    </row>
    <row r="13" spans="1:15">
      <c r="A13" t="s">
        <v>72</v>
      </c>
      <c r="B13" t="s">
        <v>73</v>
      </c>
      <c r="C13" t="s">
        <v>2</v>
      </c>
      <c r="D13" s="8">
        <v>466256</v>
      </c>
      <c r="E13" t="s">
        <v>74</v>
      </c>
      <c r="F13" t="s">
        <v>9</v>
      </c>
      <c r="G13">
        <v>388497</v>
      </c>
      <c r="H13">
        <v>42</v>
      </c>
      <c r="I13" t="s">
        <v>62</v>
      </c>
      <c r="J13" s="2">
        <v>18.5</v>
      </c>
      <c r="K13">
        <f t="shared" si="0"/>
        <v>77759</v>
      </c>
      <c r="L13" s="3">
        <f t="shared" si="1"/>
        <v>0.16677318897772897</v>
      </c>
      <c r="M13" s="5" t="str">
        <f t="shared" si="2"/>
        <v>Comfortable</v>
      </c>
      <c r="N13" s="5" t="str">
        <f t="shared" si="3"/>
        <v>Rich</v>
      </c>
      <c r="O13" t="str">
        <f>_xlfn.XLOOKUP(A13, region!A:A, region!B:B)</f>
        <v>Vidarbha</v>
      </c>
    </row>
    <row r="14" spans="1:15">
      <c r="A14" t="s">
        <v>75</v>
      </c>
      <c r="B14" t="s">
        <v>76</v>
      </c>
      <c r="C14" t="s">
        <v>3</v>
      </c>
      <c r="D14" s="8">
        <v>628331</v>
      </c>
      <c r="E14" t="s">
        <v>77</v>
      </c>
      <c r="F14" t="s">
        <v>4</v>
      </c>
      <c r="G14">
        <v>276152</v>
      </c>
      <c r="H14">
        <v>48</v>
      </c>
      <c r="I14" t="s">
        <v>68</v>
      </c>
      <c r="J14" s="2">
        <v>9.1999999999999993</v>
      </c>
      <c r="K14">
        <f t="shared" si="0"/>
        <v>352179</v>
      </c>
      <c r="L14" s="3">
        <f t="shared" si="1"/>
        <v>0.56049916365737162</v>
      </c>
      <c r="M14" s="5" t="str">
        <f t="shared" si="2"/>
        <v>Landslide</v>
      </c>
      <c r="N14" s="5" t="str">
        <f t="shared" si="3"/>
        <v>Average</v>
      </c>
      <c r="O14" t="str">
        <f>_xlfn.XLOOKUP(A14, region!A:A, region!B:B)</f>
        <v>Vidarbha</v>
      </c>
    </row>
    <row r="15" spans="1:15">
      <c r="A15" t="s">
        <v>78</v>
      </c>
      <c r="B15" t="s">
        <v>79</v>
      </c>
      <c r="C15" t="s">
        <v>5</v>
      </c>
      <c r="D15" s="8">
        <v>758261</v>
      </c>
      <c r="E15" t="s">
        <v>80</v>
      </c>
      <c r="F15" t="s">
        <v>8</v>
      </c>
      <c r="G15">
        <v>363481</v>
      </c>
      <c r="H15">
        <v>62</v>
      </c>
      <c r="I15" t="s">
        <v>62</v>
      </c>
      <c r="J15" s="2">
        <v>41.9</v>
      </c>
      <c r="K15">
        <f t="shared" si="0"/>
        <v>394780</v>
      </c>
      <c r="L15" s="3">
        <f t="shared" si="1"/>
        <v>0.52063867190848534</v>
      </c>
      <c r="M15" s="5" t="str">
        <f t="shared" si="2"/>
        <v>Landslide</v>
      </c>
      <c r="N15" s="5" t="str">
        <f t="shared" si="3"/>
        <v>Ultra Rich</v>
      </c>
      <c r="O15" t="str">
        <f>_xlfn.XLOOKUP(A15, region!A:A, region!B:B)</f>
        <v>Vidarbha</v>
      </c>
    </row>
    <row r="16" spans="1:15">
      <c r="A16" t="s">
        <v>81</v>
      </c>
      <c r="B16" t="s">
        <v>82</v>
      </c>
      <c r="C16" t="s">
        <v>5</v>
      </c>
      <c r="D16" s="8">
        <v>764690</v>
      </c>
      <c r="E16" t="s">
        <v>83</v>
      </c>
      <c r="F16" t="s">
        <v>2</v>
      </c>
      <c r="G16">
        <v>449067</v>
      </c>
      <c r="H16">
        <v>40</v>
      </c>
      <c r="I16" t="s">
        <v>38</v>
      </c>
      <c r="J16" s="2">
        <v>0.7</v>
      </c>
      <c r="K16">
        <f t="shared" si="0"/>
        <v>315623</v>
      </c>
      <c r="L16" s="3">
        <f t="shared" si="1"/>
        <v>0.41274634165478824</v>
      </c>
      <c r="M16" s="5" t="str">
        <f t="shared" si="2"/>
        <v>Landslide</v>
      </c>
      <c r="N16" s="5" t="str">
        <f t="shared" si="3"/>
        <v>Low</v>
      </c>
      <c r="O16" t="str">
        <f>_xlfn.XLOOKUP(A16, region!A:A, region!B:B)</f>
        <v>Marathwada</v>
      </c>
    </row>
    <row r="17" spans="1:15">
      <c r="A17" t="s">
        <v>84</v>
      </c>
      <c r="B17" t="s">
        <v>85</v>
      </c>
      <c r="C17" t="s">
        <v>3</v>
      </c>
      <c r="D17" s="8">
        <v>408436</v>
      </c>
      <c r="E17" t="s">
        <v>86</v>
      </c>
      <c r="F17" t="s">
        <v>8</v>
      </c>
      <c r="G17">
        <v>383982</v>
      </c>
      <c r="H17">
        <v>74</v>
      </c>
      <c r="I17" t="s">
        <v>49</v>
      </c>
      <c r="J17" s="2">
        <v>12.3</v>
      </c>
      <c r="K17">
        <f t="shared" si="0"/>
        <v>24454</v>
      </c>
      <c r="L17" s="3">
        <f t="shared" si="1"/>
        <v>5.9872293333594492E-2</v>
      </c>
      <c r="M17" s="5" t="str">
        <f t="shared" si="2"/>
        <v>Nail-Biter</v>
      </c>
      <c r="N17" s="5" t="str">
        <f t="shared" si="3"/>
        <v>Average</v>
      </c>
      <c r="O17" t="str">
        <f>_xlfn.XLOOKUP(A17, region!A:A, region!B:B)</f>
        <v>Marathwada</v>
      </c>
    </row>
    <row r="18" spans="1:15">
      <c r="A18" t="s">
        <v>87</v>
      </c>
      <c r="B18" t="s">
        <v>88</v>
      </c>
      <c r="C18" t="s">
        <v>8</v>
      </c>
      <c r="D18" s="8">
        <v>838031</v>
      </c>
      <c r="E18" t="s">
        <v>89</v>
      </c>
      <c r="F18" t="s">
        <v>9</v>
      </c>
      <c r="G18">
        <v>479516</v>
      </c>
      <c r="H18">
        <v>47</v>
      </c>
      <c r="I18" t="s">
        <v>42</v>
      </c>
      <c r="J18" s="2">
        <v>20.2</v>
      </c>
      <c r="K18">
        <f t="shared" si="0"/>
        <v>358515</v>
      </c>
      <c r="L18" s="3">
        <f t="shared" si="1"/>
        <v>0.42780636993142257</v>
      </c>
      <c r="M18" s="5" t="str">
        <f t="shared" si="2"/>
        <v>Landslide</v>
      </c>
      <c r="N18" s="5" t="str">
        <f t="shared" si="3"/>
        <v>Rich</v>
      </c>
      <c r="O18" t="str">
        <f>_xlfn.XLOOKUP(A18, region!A:A, region!B:B)</f>
        <v>Marathwada</v>
      </c>
    </row>
    <row r="19" spans="1:15">
      <c r="A19" t="s">
        <v>90</v>
      </c>
      <c r="B19" t="s">
        <v>91</v>
      </c>
      <c r="C19" t="s">
        <v>3</v>
      </c>
      <c r="D19" s="8">
        <v>632028</v>
      </c>
      <c r="E19" t="s">
        <v>92</v>
      </c>
      <c r="F19" t="s">
        <v>2</v>
      </c>
      <c r="G19">
        <v>308706</v>
      </c>
      <c r="H19">
        <v>69</v>
      </c>
      <c r="I19" t="s">
        <v>49</v>
      </c>
      <c r="J19" s="2">
        <v>29</v>
      </c>
      <c r="K19">
        <f t="shared" si="0"/>
        <v>323322</v>
      </c>
      <c r="L19" s="3">
        <f t="shared" si="1"/>
        <v>0.51156277886422752</v>
      </c>
      <c r="M19" s="5" t="str">
        <f t="shared" si="2"/>
        <v>Landslide</v>
      </c>
      <c r="N19" s="5" t="str">
        <f t="shared" si="3"/>
        <v>Rich</v>
      </c>
      <c r="O19" t="str">
        <f>_xlfn.XLOOKUP(A19, region!A:A, region!B:B)</f>
        <v>Marathwada</v>
      </c>
    </row>
    <row r="20" spans="1:15">
      <c r="A20" t="s">
        <v>93</v>
      </c>
      <c r="B20" t="s">
        <v>94</v>
      </c>
      <c r="C20" t="s">
        <v>8</v>
      </c>
      <c r="D20" s="8">
        <v>815978</v>
      </c>
      <c r="E20" t="s">
        <v>95</v>
      </c>
      <c r="F20" t="s">
        <v>3</v>
      </c>
      <c r="G20">
        <v>655940</v>
      </c>
      <c r="H20">
        <v>48</v>
      </c>
      <c r="I20" t="s">
        <v>62</v>
      </c>
      <c r="J20" s="2">
        <v>38.1</v>
      </c>
      <c r="K20">
        <f t="shared" si="0"/>
        <v>160038</v>
      </c>
      <c r="L20" s="3">
        <f t="shared" si="1"/>
        <v>0.19613028782638747</v>
      </c>
      <c r="M20" s="5" t="str">
        <f t="shared" si="2"/>
        <v>Comfortable</v>
      </c>
      <c r="N20" s="5" t="str">
        <f t="shared" si="3"/>
        <v>Ultra Rich</v>
      </c>
      <c r="O20" t="str">
        <f>_xlfn.XLOOKUP(A20, region!A:A, region!B:B)</f>
        <v>Marathwada</v>
      </c>
    </row>
    <row r="21" spans="1:15">
      <c r="A21" t="s">
        <v>96</v>
      </c>
      <c r="B21" t="s">
        <v>97</v>
      </c>
      <c r="C21" t="s">
        <v>3</v>
      </c>
      <c r="D21" s="8">
        <v>374366</v>
      </c>
      <c r="E21" t="s">
        <v>98</v>
      </c>
      <c r="F21" t="s">
        <v>5</v>
      </c>
      <c r="G21">
        <v>192683</v>
      </c>
      <c r="H21">
        <v>53</v>
      </c>
      <c r="I21" t="s">
        <v>62</v>
      </c>
      <c r="J21" s="2">
        <v>20</v>
      </c>
      <c r="K21">
        <f t="shared" si="0"/>
        <v>181683</v>
      </c>
      <c r="L21" s="3">
        <f t="shared" si="1"/>
        <v>0.48530849489536976</v>
      </c>
      <c r="M21" s="5" t="str">
        <f t="shared" si="2"/>
        <v>Landslide</v>
      </c>
      <c r="N21" s="5" t="str">
        <f t="shared" si="3"/>
        <v>Rich</v>
      </c>
      <c r="O21" t="str">
        <f>_xlfn.XLOOKUP(A21, region!A:A, region!B:B)</f>
        <v>North Maharashtra</v>
      </c>
    </row>
    <row r="22" spans="1:15">
      <c r="A22" t="s">
        <v>99</v>
      </c>
      <c r="B22" t="s">
        <v>100</v>
      </c>
      <c r="C22" t="s">
        <v>8</v>
      </c>
      <c r="D22" s="8">
        <v>507610</v>
      </c>
      <c r="E22" t="s">
        <v>101</v>
      </c>
      <c r="F22" t="s">
        <v>4</v>
      </c>
      <c r="G22">
        <v>344051</v>
      </c>
      <c r="H22">
        <v>60</v>
      </c>
      <c r="I22" t="s">
        <v>38</v>
      </c>
      <c r="J22" s="2">
        <v>29.2</v>
      </c>
      <c r="K22">
        <f t="shared" si="0"/>
        <v>163559</v>
      </c>
      <c r="L22" s="3">
        <f t="shared" si="1"/>
        <v>0.32221390437540631</v>
      </c>
      <c r="M22" s="5" t="str">
        <f t="shared" si="2"/>
        <v>Landslide</v>
      </c>
      <c r="N22" s="5" t="str">
        <f t="shared" si="3"/>
        <v>Rich</v>
      </c>
      <c r="O22" t="str">
        <f>_xlfn.XLOOKUP(A22, region!A:A, region!B:B)</f>
        <v>North Maharashtra</v>
      </c>
    </row>
    <row r="23" spans="1:15">
      <c r="A23" t="s">
        <v>102</v>
      </c>
      <c r="B23" t="s">
        <v>103</v>
      </c>
      <c r="C23" t="s">
        <v>9</v>
      </c>
      <c r="D23" s="8">
        <v>792807</v>
      </c>
      <c r="E23" t="s">
        <v>104</v>
      </c>
      <c r="F23" t="s">
        <v>2</v>
      </c>
      <c r="G23">
        <v>398134</v>
      </c>
      <c r="H23">
        <v>68</v>
      </c>
      <c r="I23" t="s">
        <v>68</v>
      </c>
      <c r="J23" s="2">
        <v>40.4</v>
      </c>
      <c r="K23">
        <f t="shared" si="0"/>
        <v>394673</v>
      </c>
      <c r="L23" s="3">
        <f t="shared" si="1"/>
        <v>0.49781724934315663</v>
      </c>
      <c r="M23" s="5" t="str">
        <f t="shared" si="2"/>
        <v>Landslide</v>
      </c>
      <c r="N23" s="5" t="str">
        <f t="shared" si="3"/>
        <v>Ultra Rich</v>
      </c>
      <c r="O23" t="str">
        <f>_xlfn.XLOOKUP(A23, region!A:A, region!B:B)</f>
        <v>Konkan</v>
      </c>
    </row>
    <row r="24" spans="1:15">
      <c r="A24" t="s">
        <v>105</v>
      </c>
      <c r="B24" t="s">
        <v>106</v>
      </c>
      <c r="C24" t="s">
        <v>2</v>
      </c>
      <c r="D24" s="8">
        <v>409755</v>
      </c>
      <c r="E24" t="s">
        <v>107</v>
      </c>
      <c r="F24" t="s">
        <v>4</v>
      </c>
      <c r="G24">
        <v>219333</v>
      </c>
      <c r="H24">
        <v>59</v>
      </c>
      <c r="I24" t="s">
        <v>108</v>
      </c>
      <c r="J24" s="2">
        <v>39.5</v>
      </c>
      <c r="K24">
        <f t="shared" si="0"/>
        <v>190422</v>
      </c>
      <c r="L24" s="3">
        <f t="shared" si="1"/>
        <v>0.46472160193286233</v>
      </c>
      <c r="M24" s="5" t="str">
        <f t="shared" si="2"/>
        <v>Landslide</v>
      </c>
      <c r="N24" s="5" t="str">
        <f t="shared" si="3"/>
        <v>Ultra Rich</v>
      </c>
      <c r="O24" t="str">
        <f>_xlfn.XLOOKUP(A24, region!A:A, region!B:B)</f>
        <v>Konkan</v>
      </c>
    </row>
    <row r="25" spans="1:15">
      <c r="A25" t="s">
        <v>109</v>
      </c>
      <c r="B25" t="s">
        <v>110</v>
      </c>
      <c r="C25" t="s">
        <v>5</v>
      </c>
      <c r="D25" s="8">
        <v>433234</v>
      </c>
      <c r="E25" t="s">
        <v>111</v>
      </c>
      <c r="F25" t="s">
        <v>4</v>
      </c>
      <c r="G25">
        <v>350382</v>
      </c>
      <c r="H25">
        <v>53</v>
      </c>
      <c r="I25" t="s">
        <v>38</v>
      </c>
      <c r="J25" s="2">
        <v>24.4</v>
      </c>
      <c r="K25">
        <f t="shared" si="0"/>
        <v>82852</v>
      </c>
      <c r="L25" s="3">
        <f t="shared" si="1"/>
        <v>0.19124076134375417</v>
      </c>
      <c r="M25" s="5" t="str">
        <f t="shared" si="2"/>
        <v>Comfortable</v>
      </c>
      <c r="N25" s="5" t="str">
        <f t="shared" si="3"/>
        <v>Rich</v>
      </c>
      <c r="O25" t="str">
        <f>_xlfn.XLOOKUP(A25, region!A:A, region!B:B)</f>
        <v>Konkan</v>
      </c>
    </row>
    <row r="26" spans="1:15">
      <c r="A26" t="s">
        <v>112</v>
      </c>
      <c r="B26" t="s">
        <v>113</v>
      </c>
      <c r="C26" t="s">
        <v>3</v>
      </c>
      <c r="D26" s="8">
        <v>796335</v>
      </c>
      <c r="E26" t="s">
        <v>114</v>
      </c>
      <c r="F26" t="s">
        <v>37</v>
      </c>
      <c r="G26">
        <v>521415</v>
      </c>
      <c r="H26">
        <v>59</v>
      </c>
      <c r="I26" t="s">
        <v>38</v>
      </c>
      <c r="J26" s="2">
        <v>10.4</v>
      </c>
      <c r="K26">
        <f t="shared" si="0"/>
        <v>274920</v>
      </c>
      <c r="L26" s="3">
        <f t="shared" si="1"/>
        <v>0.34523159223191247</v>
      </c>
      <c r="M26" s="5" t="str">
        <f t="shared" si="2"/>
        <v>Landslide</v>
      </c>
      <c r="N26" s="5" t="str">
        <f t="shared" si="3"/>
        <v>Average</v>
      </c>
      <c r="O26" t="str">
        <f>_xlfn.XLOOKUP(A26, region!A:A, region!B:B)</f>
        <v>Konkan</v>
      </c>
    </row>
    <row r="27" spans="1:15">
      <c r="A27" t="s">
        <v>115</v>
      </c>
      <c r="B27" t="s">
        <v>116</v>
      </c>
      <c r="C27" t="s">
        <v>3</v>
      </c>
      <c r="D27" s="8">
        <v>709994</v>
      </c>
      <c r="E27" t="s">
        <v>67</v>
      </c>
      <c r="F27" t="s">
        <v>9</v>
      </c>
      <c r="G27">
        <v>524303</v>
      </c>
      <c r="H27">
        <v>35</v>
      </c>
      <c r="I27" t="s">
        <v>108</v>
      </c>
      <c r="J27" s="2">
        <v>41.8</v>
      </c>
      <c r="K27">
        <f t="shared" si="0"/>
        <v>185691</v>
      </c>
      <c r="L27" s="3">
        <f t="shared" si="1"/>
        <v>0.26153882990560484</v>
      </c>
      <c r="M27" s="5" t="str">
        <f t="shared" si="2"/>
        <v>Landslide</v>
      </c>
      <c r="N27" s="5" t="str">
        <f t="shared" si="3"/>
        <v>Ultra Rich</v>
      </c>
      <c r="O27" t="str">
        <f>_xlfn.XLOOKUP(A27, region!A:A, region!B:B)</f>
        <v>Mumbai</v>
      </c>
    </row>
    <row r="28" spans="1:15">
      <c r="A28" t="s">
        <v>117</v>
      </c>
      <c r="B28" t="s">
        <v>118</v>
      </c>
      <c r="C28" t="s">
        <v>4</v>
      </c>
      <c r="D28" s="8">
        <v>446874</v>
      </c>
      <c r="E28" t="s">
        <v>119</v>
      </c>
      <c r="F28" t="s">
        <v>8</v>
      </c>
      <c r="G28">
        <v>240086</v>
      </c>
      <c r="H28">
        <v>43</v>
      </c>
      <c r="I28" t="s">
        <v>42</v>
      </c>
      <c r="J28" s="2">
        <v>20.7</v>
      </c>
      <c r="K28">
        <f t="shared" si="0"/>
        <v>206788</v>
      </c>
      <c r="L28" s="3">
        <f t="shared" si="1"/>
        <v>0.46274341313211331</v>
      </c>
      <c r="M28" s="5" t="str">
        <f t="shared" si="2"/>
        <v>Landslide</v>
      </c>
      <c r="N28" s="5" t="str">
        <f t="shared" si="3"/>
        <v>Rich</v>
      </c>
      <c r="O28" t="str">
        <f>_xlfn.XLOOKUP(A28, region!A:A, region!B:B)</f>
        <v>Mumbai</v>
      </c>
    </row>
    <row r="29" spans="1:15">
      <c r="A29" t="s">
        <v>120</v>
      </c>
      <c r="B29" t="s">
        <v>121</v>
      </c>
      <c r="C29" t="s">
        <v>8</v>
      </c>
      <c r="D29" s="8">
        <v>452996</v>
      </c>
      <c r="E29" t="s">
        <v>98</v>
      </c>
      <c r="F29" t="s">
        <v>3</v>
      </c>
      <c r="G29">
        <v>367437</v>
      </c>
      <c r="H29">
        <v>68</v>
      </c>
      <c r="I29" t="s">
        <v>42</v>
      </c>
      <c r="J29" s="2">
        <v>10.9</v>
      </c>
      <c r="K29">
        <f t="shared" si="0"/>
        <v>85559</v>
      </c>
      <c r="L29" s="3">
        <f t="shared" si="1"/>
        <v>0.18887363243825553</v>
      </c>
      <c r="M29" s="5" t="str">
        <f t="shared" si="2"/>
        <v>Comfortable</v>
      </c>
      <c r="N29" s="5" t="str">
        <f t="shared" si="3"/>
        <v>Average</v>
      </c>
      <c r="O29" t="str">
        <f>_xlfn.XLOOKUP(A29, region!A:A, region!B:B)</f>
        <v>Mumbai</v>
      </c>
    </row>
    <row r="30" spans="1:15">
      <c r="A30" t="s">
        <v>122</v>
      </c>
      <c r="B30" t="s">
        <v>123</v>
      </c>
      <c r="C30" t="s">
        <v>2</v>
      </c>
      <c r="D30" s="8">
        <v>734874</v>
      </c>
      <c r="E30" t="s">
        <v>124</v>
      </c>
      <c r="F30" t="s">
        <v>4</v>
      </c>
      <c r="G30">
        <v>308727</v>
      </c>
      <c r="H30">
        <v>57</v>
      </c>
      <c r="I30" t="s">
        <v>62</v>
      </c>
      <c r="J30" s="2">
        <v>24.2</v>
      </c>
      <c r="K30">
        <f t="shared" si="0"/>
        <v>426147</v>
      </c>
      <c r="L30" s="3">
        <f t="shared" si="1"/>
        <v>0.5798912466626932</v>
      </c>
      <c r="M30" s="5" t="str">
        <f t="shared" si="2"/>
        <v>Landslide</v>
      </c>
      <c r="N30" s="5" t="str">
        <f t="shared" si="3"/>
        <v>Rich</v>
      </c>
      <c r="O30" t="str">
        <f>_xlfn.XLOOKUP(A30, region!A:A, region!B:B)</f>
        <v>Mumbai</v>
      </c>
    </row>
    <row r="31" spans="1:15">
      <c r="A31" t="s">
        <v>125</v>
      </c>
      <c r="B31" t="s">
        <v>126</v>
      </c>
      <c r="C31" t="s">
        <v>4</v>
      </c>
      <c r="D31" s="8">
        <v>839839</v>
      </c>
      <c r="E31" t="s">
        <v>127</v>
      </c>
      <c r="F31" t="s">
        <v>9</v>
      </c>
      <c r="G31">
        <v>714842</v>
      </c>
      <c r="H31">
        <v>66</v>
      </c>
      <c r="I31" t="s">
        <v>42</v>
      </c>
      <c r="J31" s="2">
        <v>41.3</v>
      </c>
      <c r="K31">
        <f t="shared" si="0"/>
        <v>124997</v>
      </c>
      <c r="L31" s="3">
        <f t="shared" si="1"/>
        <v>0.14883447898942537</v>
      </c>
      <c r="M31" s="5" t="str">
        <f t="shared" si="2"/>
        <v>Comfortable</v>
      </c>
      <c r="N31" s="5" t="str">
        <f t="shared" si="3"/>
        <v>Ultra Rich</v>
      </c>
      <c r="O31" t="str">
        <f>_xlfn.XLOOKUP(A31, region!A:A, region!B:B)</f>
        <v>Mumbai</v>
      </c>
    </row>
    <row r="32" spans="1:15">
      <c r="A32" t="s">
        <v>128</v>
      </c>
      <c r="B32" t="s">
        <v>129</v>
      </c>
      <c r="C32" t="s">
        <v>2</v>
      </c>
      <c r="D32" s="8">
        <v>547404</v>
      </c>
      <c r="E32" t="s">
        <v>130</v>
      </c>
      <c r="F32" t="s">
        <v>5</v>
      </c>
      <c r="G32">
        <v>428025</v>
      </c>
      <c r="H32">
        <v>60</v>
      </c>
      <c r="I32" t="s">
        <v>38</v>
      </c>
      <c r="J32" s="2">
        <v>29.7</v>
      </c>
      <c r="K32">
        <f t="shared" si="0"/>
        <v>119379</v>
      </c>
      <c r="L32" s="3">
        <f t="shared" si="1"/>
        <v>0.21808207466514676</v>
      </c>
      <c r="M32" s="5" t="str">
        <f t="shared" si="2"/>
        <v>Landslide</v>
      </c>
      <c r="N32" s="5" t="str">
        <f t="shared" si="3"/>
        <v>Rich</v>
      </c>
      <c r="O32" t="str">
        <f>_xlfn.XLOOKUP(A32, region!A:A, region!B:B)</f>
        <v>Mumbai</v>
      </c>
    </row>
    <row r="33" spans="1:15">
      <c r="A33" t="s">
        <v>131</v>
      </c>
      <c r="B33" t="s">
        <v>132</v>
      </c>
      <c r="C33" t="s">
        <v>9</v>
      </c>
      <c r="D33" s="8">
        <v>766335</v>
      </c>
      <c r="E33" t="s">
        <v>111</v>
      </c>
      <c r="F33" t="s">
        <v>8</v>
      </c>
      <c r="G33">
        <v>414259</v>
      </c>
      <c r="H33">
        <v>36</v>
      </c>
      <c r="I33" t="s">
        <v>49</v>
      </c>
      <c r="J33" s="2">
        <v>5.6</v>
      </c>
      <c r="K33">
        <f t="shared" si="0"/>
        <v>352076</v>
      </c>
      <c r="L33" s="3">
        <f t="shared" si="1"/>
        <v>0.45942831790274491</v>
      </c>
      <c r="M33" s="5" t="str">
        <f t="shared" si="2"/>
        <v>Landslide</v>
      </c>
      <c r="N33" s="5" t="str">
        <f t="shared" si="3"/>
        <v>Average</v>
      </c>
      <c r="O33" t="str">
        <f>_xlfn.XLOOKUP(A33, region!A:A, region!B:B)</f>
        <v>Konkan</v>
      </c>
    </row>
    <row r="34" spans="1:15">
      <c r="A34" t="s">
        <v>133</v>
      </c>
      <c r="B34" t="s">
        <v>134</v>
      </c>
      <c r="C34" t="s">
        <v>5</v>
      </c>
      <c r="D34" s="8">
        <v>446288</v>
      </c>
      <c r="E34" t="s">
        <v>135</v>
      </c>
      <c r="F34" t="s">
        <v>2</v>
      </c>
      <c r="G34">
        <v>279931</v>
      </c>
      <c r="H34">
        <v>53</v>
      </c>
      <c r="I34" t="s">
        <v>42</v>
      </c>
      <c r="J34" s="2">
        <v>16.2</v>
      </c>
      <c r="K34">
        <f t="shared" si="0"/>
        <v>166357</v>
      </c>
      <c r="L34" s="3">
        <f t="shared" si="1"/>
        <v>0.37275705374108198</v>
      </c>
      <c r="M34" s="5" t="str">
        <f t="shared" si="2"/>
        <v>Landslide</v>
      </c>
      <c r="N34" s="5" t="str">
        <f t="shared" si="3"/>
        <v>Rich</v>
      </c>
      <c r="O34" t="str">
        <f>_xlfn.XLOOKUP(A34, region!A:A, region!B:B)</f>
        <v>Western Maharashtra</v>
      </c>
    </row>
    <row r="35" spans="1:15">
      <c r="A35" t="s">
        <v>136</v>
      </c>
      <c r="B35" t="s">
        <v>76</v>
      </c>
      <c r="C35" t="s">
        <v>5</v>
      </c>
      <c r="D35" s="8">
        <v>551508</v>
      </c>
      <c r="E35" t="s">
        <v>137</v>
      </c>
      <c r="F35" t="s">
        <v>9</v>
      </c>
      <c r="G35">
        <v>296406</v>
      </c>
      <c r="H35">
        <v>52</v>
      </c>
      <c r="I35" t="s">
        <v>68</v>
      </c>
      <c r="J35" s="2">
        <v>19.7</v>
      </c>
      <c r="K35">
        <f t="shared" si="0"/>
        <v>255102</v>
      </c>
      <c r="L35" s="3">
        <f t="shared" si="1"/>
        <v>0.46255358036510802</v>
      </c>
      <c r="M35" s="5" t="str">
        <f t="shared" si="2"/>
        <v>Landslide</v>
      </c>
      <c r="N35" s="5" t="str">
        <f t="shared" si="3"/>
        <v>Rich</v>
      </c>
      <c r="O35" t="str">
        <f>_xlfn.XLOOKUP(A35, region!A:A, region!B:B)</f>
        <v>Western Maharashtra</v>
      </c>
    </row>
    <row r="36" spans="1:15">
      <c r="A36" t="s">
        <v>138</v>
      </c>
      <c r="B36" t="s">
        <v>139</v>
      </c>
      <c r="C36" t="s">
        <v>2</v>
      </c>
      <c r="D36" s="8">
        <v>671534</v>
      </c>
      <c r="E36" t="s">
        <v>140</v>
      </c>
      <c r="F36" t="s">
        <v>5</v>
      </c>
      <c r="G36">
        <v>340426</v>
      </c>
      <c r="H36">
        <v>55</v>
      </c>
      <c r="I36" t="s">
        <v>49</v>
      </c>
      <c r="J36" s="2">
        <v>27.7</v>
      </c>
      <c r="K36">
        <f t="shared" si="0"/>
        <v>331108</v>
      </c>
      <c r="L36" s="3">
        <f t="shared" si="1"/>
        <v>0.49306215321934554</v>
      </c>
      <c r="M36" s="5" t="str">
        <f t="shared" si="2"/>
        <v>Landslide</v>
      </c>
      <c r="N36" s="5" t="str">
        <f t="shared" si="3"/>
        <v>Rich</v>
      </c>
      <c r="O36" t="str">
        <f>_xlfn.XLOOKUP(A36, region!A:A, region!B:B)</f>
        <v>Western Maharashtra</v>
      </c>
    </row>
    <row r="37" spans="1:15">
      <c r="A37" t="s">
        <v>141</v>
      </c>
      <c r="B37" t="s">
        <v>142</v>
      </c>
      <c r="C37" t="s">
        <v>8</v>
      </c>
      <c r="D37" s="8">
        <v>736376</v>
      </c>
      <c r="E37" t="s">
        <v>71</v>
      </c>
      <c r="F37" t="s">
        <v>2</v>
      </c>
      <c r="G37">
        <v>443823</v>
      </c>
      <c r="H37">
        <v>35</v>
      </c>
      <c r="I37" t="s">
        <v>42</v>
      </c>
      <c r="J37" s="2">
        <v>14.9</v>
      </c>
      <c r="K37">
        <f t="shared" si="0"/>
        <v>292553</v>
      </c>
      <c r="L37" s="3">
        <f t="shared" si="1"/>
        <v>0.39728752702423764</v>
      </c>
      <c r="M37" s="5" t="str">
        <f t="shared" si="2"/>
        <v>Landslide</v>
      </c>
      <c r="N37" s="5" t="str">
        <f t="shared" si="3"/>
        <v>Average</v>
      </c>
      <c r="O37" t="str">
        <f>_xlfn.XLOOKUP(A37, region!A:A, region!B:B)</f>
        <v>Western Maharashtra</v>
      </c>
    </row>
    <row r="38" spans="1:15">
      <c r="A38" t="s">
        <v>143</v>
      </c>
      <c r="B38" t="s">
        <v>144</v>
      </c>
      <c r="C38" t="s">
        <v>4</v>
      </c>
      <c r="D38" s="8">
        <v>639334</v>
      </c>
      <c r="E38" t="s">
        <v>142</v>
      </c>
      <c r="F38" t="s">
        <v>8</v>
      </c>
      <c r="G38">
        <v>442880</v>
      </c>
      <c r="H38">
        <v>45</v>
      </c>
      <c r="I38" t="s">
        <v>38</v>
      </c>
      <c r="J38" s="2">
        <v>39</v>
      </c>
      <c r="K38">
        <f t="shared" si="0"/>
        <v>196454</v>
      </c>
      <c r="L38" s="3">
        <f t="shared" si="1"/>
        <v>0.30727913735230722</v>
      </c>
      <c r="M38" s="5" t="str">
        <f t="shared" si="2"/>
        <v>Landslide</v>
      </c>
      <c r="N38" s="5" t="str">
        <f t="shared" si="3"/>
        <v>Ultra Rich</v>
      </c>
      <c r="O38" t="str">
        <f>_xlfn.XLOOKUP(A38, region!A:A, region!B:B)</f>
        <v>Western Maharashtra</v>
      </c>
    </row>
    <row r="39" spans="1:15">
      <c r="A39" t="s">
        <v>145</v>
      </c>
      <c r="B39" t="s">
        <v>146</v>
      </c>
      <c r="C39" t="s">
        <v>2</v>
      </c>
      <c r="D39" s="8">
        <v>578077</v>
      </c>
      <c r="E39" t="s">
        <v>147</v>
      </c>
      <c r="F39" t="s">
        <v>9</v>
      </c>
      <c r="G39">
        <v>404680</v>
      </c>
      <c r="H39">
        <v>64</v>
      </c>
      <c r="I39" t="s">
        <v>62</v>
      </c>
      <c r="J39" s="2">
        <v>42.2</v>
      </c>
      <c r="K39">
        <f t="shared" si="0"/>
        <v>173397</v>
      </c>
      <c r="L39" s="3">
        <f t="shared" si="1"/>
        <v>0.29995485030540914</v>
      </c>
      <c r="M39" s="5" t="str">
        <f t="shared" si="2"/>
        <v>Landslide</v>
      </c>
      <c r="N39" s="5" t="str">
        <f t="shared" si="3"/>
        <v>Ultra Rich</v>
      </c>
      <c r="O39" t="str">
        <f>_xlfn.XLOOKUP(A39, region!A:A, region!B:B)</f>
        <v>Western Maharashtra</v>
      </c>
    </row>
    <row r="40" spans="1:15">
      <c r="A40" t="s">
        <v>148</v>
      </c>
      <c r="B40" t="s">
        <v>83</v>
      </c>
      <c r="C40" t="s">
        <v>4</v>
      </c>
      <c r="D40" s="8">
        <v>368400</v>
      </c>
      <c r="E40" t="s">
        <v>149</v>
      </c>
      <c r="F40" t="s">
        <v>37</v>
      </c>
      <c r="G40">
        <v>325730</v>
      </c>
      <c r="H40">
        <v>49</v>
      </c>
      <c r="I40" t="s">
        <v>108</v>
      </c>
      <c r="J40" s="2">
        <v>12.4</v>
      </c>
      <c r="K40">
        <f t="shared" si="0"/>
        <v>42670</v>
      </c>
      <c r="L40" s="3">
        <f t="shared" si="1"/>
        <v>0.11582519001085777</v>
      </c>
      <c r="M40" s="5" t="str">
        <f t="shared" si="2"/>
        <v>Comfortable</v>
      </c>
      <c r="N40" s="5" t="str">
        <f t="shared" si="3"/>
        <v>Average</v>
      </c>
      <c r="O40" t="str">
        <f>_xlfn.XLOOKUP(A40, region!A:A, region!B:B)</f>
        <v>Marathwada</v>
      </c>
    </row>
    <row r="41" spans="1:15">
      <c r="A41" t="s">
        <v>150</v>
      </c>
      <c r="B41" t="s">
        <v>151</v>
      </c>
      <c r="C41" t="s">
        <v>8</v>
      </c>
      <c r="D41" s="8">
        <v>406229</v>
      </c>
      <c r="E41" t="s">
        <v>129</v>
      </c>
      <c r="F41" t="s">
        <v>9</v>
      </c>
      <c r="G41">
        <v>312348</v>
      </c>
      <c r="H41">
        <v>69</v>
      </c>
      <c r="I41" t="s">
        <v>42</v>
      </c>
      <c r="J41" s="2">
        <v>14.5</v>
      </c>
      <c r="K41">
        <f t="shared" si="0"/>
        <v>93881</v>
      </c>
      <c r="L41" s="3">
        <f t="shared" si="1"/>
        <v>0.23110363858808702</v>
      </c>
      <c r="M41" s="5" t="str">
        <f t="shared" si="2"/>
        <v>Landslide</v>
      </c>
      <c r="N41" s="5" t="str">
        <f t="shared" si="3"/>
        <v>Average</v>
      </c>
      <c r="O41" t="str">
        <f>_xlfn.XLOOKUP(A41, region!A:A, region!B:B)</f>
        <v>Marathwada</v>
      </c>
    </row>
    <row r="42" spans="1:15">
      <c r="A42" t="s">
        <v>152</v>
      </c>
      <c r="B42" t="s">
        <v>144</v>
      </c>
      <c r="C42" t="s">
        <v>2</v>
      </c>
      <c r="D42" s="8">
        <v>736321</v>
      </c>
      <c r="E42" t="s">
        <v>153</v>
      </c>
      <c r="F42" t="s">
        <v>5</v>
      </c>
      <c r="G42">
        <v>465661</v>
      </c>
      <c r="H42">
        <v>53</v>
      </c>
      <c r="I42" t="s">
        <v>49</v>
      </c>
      <c r="J42" s="2">
        <v>42.6</v>
      </c>
      <c r="K42">
        <f t="shared" si="0"/>
        <v>270660</v>
      </c>
      <c r="L42" s="3">
        <f t="shared" si="1"/>
        <v>0.36758424654464561</v>
      </c>
      <c r="M42" s="5" t="str">
        <f t="shared" si="2"/>
        <v>Landslide</v>
      </c>
      <c r="N42" s="5" t="str">
        <f t="shared" si="3"/>
        <v>Ultra Rich</v>
      </c>
      <c r="O42" t="str">
        <f>_xlfn.XLOOKUP(A42, region!A:A, region!B:B)</f>
        <v>Marathwada</v>
      </c>
    </row>
    <row r="43" spans="1:15">
      <c r="A43" t="s">
        <v>154</v>
      </c>
      <c r="B43" t="s">
        <v>155</v>
      </c>
      <c r="C43" t="s">
        <v>2</v>
      </c>
      <c r="D43" s="8">
        <v>819012</v>
      </c>
      <c r="E43" t="s">
        <v>156</v>
      </c>
      <c r="F43" t="s">
        <v>37</v>
      </c>
      <c r="G43">
        <v>598013</v>
      </c>
      <c r="H43">
        <v>71</v>
      </c>
      <c r="I43" t="s">
        <v>68</v>
      </c>
      <c r="J43" s="2">
        <v>24.5</v>
      </c>
      <c r="K43">
        <f t="shared" si="0"/>
        <v>220999</v>
      </c>
      <c r="L43" s="3">
        <f t="shared" si="1"/>
        <v>0.26983609519762836</v>
      </c>
      <c r="M43" s="5" t="str">
        <f t="shared" si="2"/>
        <v>Landslide</v>
      </c>
      <c r="N43" s="5" t="str">
        <f t="shared" si="3"/>
        <v>Rich</v>
      </c>
      <c r="O43" t="str">
        <f>_xlfn.XLOOKUP(A43, region!A:A, region!B:B)</f>
        <v>Western Maharashtra</v>
      </c>
    </row>
    <row r="44" spans="1:15">
      <c r="A44" t="s">
        <v>157</v>
      </c>
      <c r="B44" t="s">
        <v>158</v>
      </c>
      <c r="C44" t="s">
        <v>3</v>
      </c>
      <c r="D44" s="8">
        <v>637355</v>
      </c>
      <c r="E44" t="s">
        <v>159</v>
      </c>
      <c r="F44" t="s">
        <v>37</v>
      </c>
      <c r="G44">
        <v>518171</v>
      </c>
      <c r="H44">
        <v>64</v>
      </c>
      <c r="I44" t="s">
        <v>49</v>
      </c>
      <c r="J44" s="2">
        <v>34.799999999999997</v>
      </c>
      <c r="K44">
        <f t="shared" si="0"/>
        <v>119184</v>
      </c>
      <c r="L44" s="3">
        <f t="shared" si="1"/>
        <v>0.18699782695671957</v>
      </c>
      <c r="M44" s="5" t="str">
        <f t="shared" si="2"/>
        <v>Comfortable</v>
      </c>
      <c r="N44" s="5" t="str">
        <f t="shared" si="3"/>
        <v>Ultra Rich</v>
      </c>
      <c r="O44" t="str">
        <f>_xlfn.XLOOKUP(A44, region!A:A, region!B:B)</f>
        <v>Western Maharashtra</v>
      </c>
    </row>
    <row r="45" spans="1:15">
      <c r="A45" t="s">
        <v>160</v>
      </c>
      <c r="B45" t="s">
        <v>161</v>
      </c>
      <c r="C45" t="s">
        <v>3</v>
      </c>
      <c r="D45" s="8">
        <v>521540</v>
      </c>
      <c r="E45" t="s">
        <v>80</v>
      </c>
      <c r="F45" t="s">
        <v>2</v>
      </c>
      <c r="G45">
        <v>386663</v>
      </c>
      <c r="H45">
        <v>61</v>
      </c>
      <c r="I45" t="s">
        <v>62</v>
      </c>
      <c r="J45" s="2">
        <v>4.0999999999999996</v>
      </c>
      <c r="K45">
        <f t="shared" si="0"/>
        <v>134877</v>
      </c>
      <c r="L45" s="3">
        <f t="shared" si="1"/>
        <v>0.25861295394408867</v>
      </c>
      <c r="M45" s="5" t="str">
        <f t="shared" si="2"/>
        <v>Landslide</v>
      </c>
      <c r="N45" s="5" t="str">
        <f t="shared" si="3"/>
        <v>Low</v>
      </c>
      <c r="O45" t="str">
        <f>_xlfn.XLOOKUP(A45, region!A:A, region!B:B)</f>
        <v>Western Maharashtra</v>
      </c>
    </row>
    <row r="46" spans="1:15">
      <c r="A46" t="s">
        <v>162</v>
      </c>
      <c r="B46" t="s">
        <v>163</v>
      </c>
      <c r="C46" t="s">
        <v>2</v>
      </c>
      <c r="D46" s="8">
        <v>529331</v>
      </c>
      <c r="E46" t="s">
        <v>164</v>
      </c>
      <c r="F46" t="s">
        <v>9</v>
      </c>
      <c r="G46">
        <v>464770</v>
      </c>
      <c r="H46">
        <v>64</v>
      </c>
      <c r="I46" t="s">
        <v>68</v>
      </c>
      <c r="J46" s="2">
        <v>17.2</v>
      </c>
      <c r="K46">
        <f t="shared" si="0"/>
        <v>64561</v>
      </c>
      <c r="L46" s="3">
        <f t="shared" si="1"/>
        <v>0.1219671623237634</v>
      </c>
      <c r="M46" s="5" t="str">
        <f t="shared" si="2"/>
        <v>Comfortable</v>
      </c>
      <c r="N46" s="5" t="str">
        <f t="shared" si="3"/>
        <v>Rich</v>
      </c>
      <c r="O46" t="str">
        <f>_xlfn.XLOOKUP(A46, region!A:A, region!B:B)</f>
        <v>Western Maharashtra</v>
      </c>
    </row>
    <row r="47" spans="1:15">
      <c r="A47" t="s">
        <v>165</v>
      </c>
      <c r="B47" t="s">
        <v>166</v>
      </c>
      <c r="C47" t="s">
        <v>2</v>
      </c>
      <c r="D47" s="8">
        <v>382068</v>
      </c>
      <c r="E47" t="s">
        <v>167</v>
      </c>
      <c r="F47" t="s">
        <v>5</v>
      </c>
      <c r="G47">
        <v>298483</v>
      </c>
      <c r="H47">
        <v>45</v>
      </c>
      <c r="I47" t="s">
        <v>62</v>
      </c>
      <c r="J47" s="2">
        <v>5.8</v>
      </c>
      <c r="K47">
        <f t="shared" si="0"/>
        <v>83585</v>
      </c>
      <c r="L47" s="3">
        <f t="shared" si="1"/>
        <v>0.21876995718039721</v>
      </c>
      <c r="M47" s="5" t="str">
        <f t="shared" si="2"/>
        <v>Landslide</v>
      </c>
      <c r="N47" s="5" t="str">
        <f t="shared" si="3"/>
        <v>Average</v>
      </c>
      <c r="O47" t="str">
        <f>_xlfn.XLOOKUP(A47, region!A:A, region!B:B)</f>
        <v>Konkan</v>
      </c>
    </row>
    <row r="48" spans="1:15">
      <c r="A48" t="s">
        <v>168</v>
      </c>
      <c r="B48" t="s">
        <v>169</v>
      </c>
      <c r="C48" t="s">
        <v>5</v>
      </c>
      <c r="D48" s="8">
        <v>606474</v>
      </c>
      <c r="E48" t="s">
        <v>170</v>
      </c>
      <c r="F48" t="s">
        <v>3</v>
      </c>
      <c r="G48">
        <v>568403</v>
      </c>
      <c r="H48">
        <v>59</v>
      </c>
      <c r="I48" t="s">
        <v>38</v>
      </c>
      <c r="J48" s="2">
        <v>34.700000000000003</v>
      </c>
      <c r="K48">
        <f t="shared" si="0"/>
        <v>38071</v>
      </c>
      <c r="L48" s="3">
        <f t="shared" si="1"/>
        <v>6.2774331628396268E-2</v>
      </c>
      <c r="M48" s="5" t="str">
        <f t="shared" si="2"/>
        <v>Nail-Biter</v>
      </c>
      <c r="N48" s="5" t="str">
        <f t="shared" si="3"/>
        <v>Ultra Rich</v>
      </c>
      <c r="O48" t="str">
        <f>_xlfn.XLOOKUP(A48, region!A:A, region!B:B)</f>
        <v>Western Maharashtra</v>
      </c>
    </row>
    <row r="49" spans="1:15">
      <c r="A49" t="s">
        <v>171</v>
      </c>
      <c r="B49" t="s">
        <v>172</v>
      </c>
      <c r="C49" t="s">
        <v>8</v>
      </c>
      <c r="D49" s="8">
        <v>526890</v>
      </c>
      <c r="E49" t="s">
        <v>173</v>
      </c>
      <c r="F49" t="s">
        <v>3</v>
      </c>
      <c r="G49">
        <v>450521</v>
      </c>
      <c r="H49">
        <v>62</v>
      </c>
      <c r="I49" t="s">
        <v>108</v>
      </c>
      <c r="J49" s="2">
        <v>32.299999999999997</v>
      </c>
      <c r="K49">
        <f t="shared" si="0"/>
        <v>76369</v>
      </c>
      <c r="L49" s="3">
        <f t="shared" si="1"/>
        <v>0.14494296722275996</v>
      </c>
      <c r="M49" s="5" t="str">
        <f t="shared" si="2"/>
        <v>Comfortable</v>
      </c>
      <c r="N49" s="5" t="str">
        <f t="shared" si="3"/>
        <v>Ultra Rich</v>
      </c>
      <c r="O49" t="str">
        <f>_xlfn.XLOOKUP(A49, region!A:A, region!B:B)</f>
        <v>Western Maharashtra</v>
      </c>
    </row>
  </sheetData>
  <conditionalFormatting sqref="M1:M1048576">
    <cfRule type="cellIs" dxfId="6" priority="3" operator="equal">
      <formula>"Nail-Biter"</formula>
    </cfRule>
  </conditionalFormatting>
  <conditionalFormatting sqref="L1:L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{A3BECB45-9AF3-47E9-B749-0F62A62A7645}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BECB45-9AF3-47E9-B749-0F62A62A76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7BB6-F9F7-4520-A2AC-AD8C9A173854}">
  <dimension ref="A1:B49"/>
  <sheetViews>
    <sheetView workbookViewId="0">
      <selection activeCell="G14" sqref="G14"/>
    </sheetView>
  </sheetViews>
  <sheetFormatPr defaultRowHeight="15"/>
  <cols>
    <col min="1" max="1" width="20.5703125" bestFit="1" customWidth="1"/>
    <col min="2" max="2" width="20" bestFit="1" customWidth="1"/>
  </cols>
  <sheetData>
    <row r="1" spans="1:2">
      <c r="A1" t="s">
        <v>22</v>
      </c>
      <c r="B1" t="s">
        <v>7</v>
      </c>
    </row>
    <row r="2" spans="1:2">
      <c r="A2" t="s">
        <v>34</v>
      </c>
      <c r="B2" t="s">
        <v>13</v>
      </c>
    </row>
    <row r="3" spans="1:2">
      <c r="A3" t="s">
        <v>39</v>
      </c>
      <c r="B3" t="s">
        <v>13</v>
      </c>
    </row>
    <row r="4" spans="1:2">
      <c r="A4" t="s">
        <v>43</v>
      </c>
      <c r="B4" t="s">
        <v>13</v>
      </c>
    </row>
    <row r="5" spans="1:2">
      <c r="A5" t="s">
        <v>46</v>
      </c>
      <c r="B5" t="s">
        <v>13</v>
      </c>
    </row>
    <row r="6" spans="1:2">
      <c r="A6" t="s">
        <v>96</v>
      </c>
      <c r="B6" t="s">
        <v>13</v>
      </c>
    </row>
    <row r="7" spans="1:2">
      <c r="A7" t="s">
        <v>99</v>
      </c>
      <c r="B7" t="s">
        <v>13</v>
      </c>
    </row>
    <row r="8" spans="1:2">
      <c r="A8" t="s">
        <v>50</v>
      </c>
      <c r="B8" t="s">
        <v>14</v>
      </c>
    </row>
    <row r="9" spans="1:2">
      <c r="A9" t="s">
        <v>53</v>
      </c>
      <c r="B9" t="s">
        <v>14</v>
      </c>
    </row>
    <row r="10" spans="1:2">
      <c r="A10" t="s">
        <v>56</v>
      </c>
      <c r="B10" t="s">
        <v>14</v>
      </c>
    </row>
    <row r="11" spans="1:2">
      <c r="A11" t="s">
        <v>59</v>
      </c>
      <c r="B11" t="s">
        <v>14</v>
      </c>
    </row>
    <row r="12" spans="1:2">
      <c r="A12" t="s">
        <v>63</v>
      </c>
      <c r="B12" t="s">
        <v>14</v>
      </c>
    </row>
    <row r="13" spans="1:2">
      <c r="A13" t="s">
        <v>66</v>
      </c>
      <c r="B13" t="s">
        <v>14</v>
      </c>
    </row>
    <row r="14" spans="1:2">
      <c r="A14" t="s">
        <v>69</v>
      </c>
      <c r="B14" t="s">
        <v>14</v>
      </c>
    </row>
    <row r="15" spans="1:2">
      <c r="A15" t="s">
        <v>72</v>
      </c>
      <c r="B15" t="s">
        <v>14</v>
      </c>
    </row>
    <row r="16" spans="1:2">
      <c r="A16" t="s">
        <v>75</v>
      </c>
      <c r="B16" t="s">
        <v>14</v>
      </c>
    </row>
    <row r="17" spans="1:2">
      <c r="A17" t="s">
        <v>78</v>
      </c>
      <c r="B17" t="s">
        <v>14</v>
      </c>
    </row>
    <row r="18" spans="1:2">
      <c r="A18" t="s">
        <v>81</v>
      </c>
      <c r="B18" t="s">
        <v>11</v>
      </c>
    </row>
    <row r="19" spans="1:2">
      <c r="A19" t="s">
        <v>84</v>
      </c>
      <c r="B19" t="s">
        <v>11</v>
      </c>
    </row>
    <row r="20" spans="1:2">
      <c r="A20" t="s">
        <v>87</v>
      </c>
      <c r="B20" t="s">
        <v>11</v>
      </c>
    </row>
    <row r="21" spans="1:2">
      <c r="A21" t="s">
        <v>90</v>
      </c>
      <c r="B21" t="s">
        <v>11</v>
      </c>
    </row>
    <row r="22" spans="1:2">
      <c r="A22" t="s">
        <v>93</v>
      </c>
      <c r="B22" t="s">
        <v>11</v>
      </c>
    </row>
    <row r="23" spans="1:2">
      <c r="A23" t="s">
        <v>148</v>
      </c>
      <c r="B23" t="s">
        <v>11</v>
      </c>
    </row>
    <row r="24" spans="1:2">
      <c r="A24" t="s">
        <v>150</v>
      </c>
      <c r="B24" t="s">
        <v>11</v>
      </c>
    </row>
    <row r="25" spans="1:2">
      <c r="A25" t="s">
        <v>152</v>
      </c>
      <c r="B25" t="s">
        <v>11</v>
      </c>
    </row>
    <row r="26" spans="1:2">
      <c r="A26" t="s">
        <v>102</v>
      </c>
      <c r="B26" t="s">
        <v>10</v>
      </c>
    </row>
    <row r="27" spans="1:2">
      <c r="A27" t="s">
        <v>105</v>
      </c>
      <c r="B27" t="s">
        <v>10</v>
      </c>
    </row>
    <row r="28" spans="1:2">
      <c r="A28" t="s">
        <v>109</v>
      </c>
      <c r="B28" t="s">
        <v>10</v>
      </c>
    </row>
    <row r="29" spans="1:2">
      <c r="A29" t="s">
        <v>112</v>
      </c>
      <c r="B29" t="s">
        <v>10</v>
      </c>
    </row>
    <row r="30" spans="1:2">
      <c r="A30" t="s">
        <v>131</v>
      </c>
      <c r="B30" t="s">
        <v>10</v>
      </c>
    </row>
    <row r="31" spans="1:2">
      <c r="A31" t="s">
        <v>165</v>
      </c>
      <c r="B31" t="s">
        <v>10</v>
      </c>
    </row>
    <row r="32" spans="1:2">
      <c r="A32" t="s">
        <v>115</v>
      </c>
      <c r="B32" t="s">
        <v>12</v>
      </c>
    </row>
    <row r="33" spans="1:2">
      <c r="A33" t="s">
        <v>117</v>
      </c>
      <c r="B33" t="s">
        <v>12</v>
      </c>
    </row>
    <row r="34" spans="1:2">
      <c r="A34" t="s">
        <v>120</v>
      </c>
      <c r="B34" t="s">
        <v>12</v>
      </c>
    </row>
    <row r="35" spans="1:2">
      <c r="A35" t="s">
        <v>122</v>
      </c>
      <c r="B35" t="s">
        <v>12</v>
      </c>
    </row>
    <row r="36" spans="1:2">
      <c r="A36" t="s">
        <v>125</v>
      </c>
      <c r="B36" t="s">
        <v>12</v>
      </c>
    </row>
    <row r="37" spans="1:2">
      <c r="A37" t="s">
        <v>128</v>
      </c>
      <c r="B37" t="s">
        <v>12</v>
      </c>
    </row>
    <row r="38" spans="1:2">
      <c r="A38" t="s">
        <v>133</v>
      </c>
      <c r="B38" t="s">
        <v>15</v>
      </c>
    </row>
    <row r="39" spans="1:2">
      <c r="A39" t="s">
        <v>136</v>
      </c>
      <c r="B39" t="s">
        <v>15</v>
      </c>
    </row>
    <row r="40" spans="1:2">
      <c r="A40" t="s">
        <v>138</v>
      </c>
      <c r="B40" t="s">
        <v>15</v>
      </c>
    </row>
    <row r="41" spans="1:2">
      <c r="A41" t="s">
        <v>141</v>
      </c>
      <c r="B41" t="s">
        <v>15</v>
      </c>
    </row>
    <row r="42" spans="1:2">
      <c r="A42" t="s">
        <v>143</v>
      </c>
      <c r="B42" t="s">
        <v>15</v>
      </c>
    </row>
    <row r="43" spans="1:2">
      <c r="A43" t="s">
        <v>145</v>
      </c>
      <c r="B43" t="s">
        <v>15</v>
      </c>
    </row>
    <row r="44" spans="1:2">
      <c r="A44" t="s">
        <v>154</v>
      </c>
      <c r="B44" t="s">
        <v>15</v>
      </c>
    </row>
    <row r="45" spans="1:2">
      <c r="A45" t="s">
        <v>157</v>
      </c>
      <c r="B45" t="s">
        <v>15</v>
      </c>
    </row>
    <row r="46" spans="1:2">
      <c r="A46" t="s">
        <v>160</v>
      </c>
      <c r="B46" t="s">
        <v>15</v>
      </c>
    </row>
    <row r="47" spans="1:2">
      <c r="A47" t="s">
        <v>162</v>
      </c>
      <c r="B47" t="s">
        <v>15</v>
      </c>
    </row>
    <row r="48" spans="1:2">
      <c r="A48" t="s">
        <v>168</v>
      </c>
      <c r="B48" t="s">
        <v>15</v>
      </c>
    </row>
    <row r="49" spans="1:2">
      <c r="A49" t="s">
        <v>171</v>
      </c>
      <c r="B4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2026-06-22T10:57:21Z</dcterms:created>
  <dcterms:modified xsi:type="dcterms:W3CDTF">2026-06-22T13:32:19Z</dcterms:modified>
  <cp:category/>
  <cp:contentStatus/>
</cp:coreProperties>
</file>